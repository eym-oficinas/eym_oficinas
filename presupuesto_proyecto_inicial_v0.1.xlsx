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yecto" sheetId="2" state="visible" r:id="rId2"/>
    <sheet xmlns:r="http://schemas.openxmlformats.org/officeDocument/2006/relationships" name="Calculo_Vidrio" sheetId="3" state="visible" r:id="rId3"/>
    <sheet xmlns:r="http://schemas.openxmlformats.org/officeDocument/2006/relationships" name="Cortes_Tablero" sheetId="4" state="visible" r:id="rId4"/>
    <sheet xmlns:r="http://schemas.openxmlformats.org/officeDocument/2006/relationships" name="Cortes_Tubo" sheetId="5" state="visible" r:id="rId5"/>
    <sheet xmlns:r="http://schemas.openxmlformats.org/officeDocument/2006/relationships" name="Presupuesto" sheetId="6" state="visible" r:id="rId6"/>
    <sheet xmlns:r="http://schemas.openxmlformats.org/officeDocument/2006/relationships" name="Catalogo" sheetId="7" state="visible" r:id="rId7"/>
    <sheet xmlns:r="http://schemas.openxmlformats.org/officeDocument/2006/relationships" name="Opciones" sheetId="8" state="visible" r:id="rId8"/>
    <sheet xmlns:r="http://schemas.openxmlformats.org/officeDocument/2006/relationships" name="Supuestos_Pendientes" sheetId="9" state="visible" r:id="rId9"/>
    <sheet xmlns:r="http://schemas.openxmlformats.org/officeDocument/2006/relationships" name="Import_Odo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$&quot;#,##0"/>
    <numFmt numFmtId="167" formatCode="0.0%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7F7F7F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165" fontId="0" fillId="2" borderId="1" pivotButton="0" quotePrefix="0" xfId="0"/>
    <xf numFmtId="9" fontId="0" fillId="2" borderId="1" pivotButton="0" quotePrefix="0" xfId="0"/>
    <xf numFmtId="0" fontId="0" fillId="0" borderId="1" pivotButton="0" quotePrefix="0" xfId="0"/>
    <xf numFmtId="2" fontId="0" fillId="2" borderId="1" pivotButton="0" quotePrefix="0" xfId="0"/>
    <xf numFmtId="2" fontId="0" fillId="0" borderId="0" pivotButton="0" quotePrefix="0" xfId="0"/>
    <xf numFmtId="1" fontId="0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2" fontId="0" fillId="0" borderId="1" pivotButton="0" quotePrefix="0" xfId="0"/>
    <xf numFmtId="0" fontId="0" fillId="2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166" fontId="0" fillId="0" borderId="1" pivotButton="0" quotePrefix="0" xfId="0"/>
    <xf numFmtId="9" fontId="0" fillId="0" borderId="1" pivotButton="0" quotePrefix="0" xfId="0"/>
    <xf numFmtId="166" fontId="0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572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RESUMEN DEL PRESUPUESTO - VERSION 0.1 (INCOMPLETA)</t>
        </is>
      </c>
    </row>
    <row r="2">
      <c r="A2" s="2" t="inlineStr">
        <is>
          <t>Los items 'Pendiente' tienen costo 0 hasta que se cargue su precio en la hoja Catalogo.</t>
        </is>
      </c>
    </row>
    <row r="4">
      <c r="A4" s="3" t="inlineStr">
        <is>
          <t>Capitulo</t>
        </is>
      </c>
      <c r="B4" s="3" t="inlineStr">
        <is>
          <t>Costo</t>
        </is>
      </c>
      <c r="C4" s="3" t="inlineStr">
        <is>
          <t>Venta (antes de IVA)</t>
        </is>
      </c>
      <c r="D4" s="3" t="inlineStr">
        <is>
          <t>Margen bruto</t>
        </is>
      </c>
    </row>
    <row r="5">
      <c r="A5" t="inlineStr">
        <is>
          <t>1. Divisiones de vidrio</t>
        </is>
      </c>
      <c r="B5" s="4">
        <f>SUMIF(Presupuesto!$A$2:$A$35,A5,Presupuesto!$H$2:$H$35)</f>
        <v/>
      </c>
      <c r="C5" s="4">
        <f>SUMIF(Presupuesto!$A$2:$A$35,A5,Presupuesto!$I$2:$I$35)</f>
        <v/>
      </c>
      <c r="D5" s="5">
        <f>IF(C5&gt;0,(C5-B5)/C5,"")</f>
        <v/>
      </c>
    </row>
    <row r="6">
      <c r="A6" t="inlineStr">
        <is>
          <t>2. Puertas y herrajes</t>
        </is>
      </c>
      <c r="B6" s="4">
        <f>SUMIF(Presupuesto!$A$2:$A$35,A6,Presupuesto!$H$2:$H$35)</f>
        <v/>
      </c>
      <c r="C6" s="4">
        <f>SUMIF(Presupuesto!$A$2:$A$35,A6,Presupuesto!$I$2:$I$35)</f>
        <v/>
      </c>
      <c r="D6" s="5">
        <f>IF(C6&gt;0,(C6-B6)/C6,"")</f>
        <v/>
      </c>
    </row>
    <row r="7">
      <c r="A7" t="inlineStr">
        <is>
          <t>3. Mobiliario en madera y accesorios</t>
        </is>
      </c>
      <c r="B7" s="4">
        <f>SUMIF(Presupuesto!$A$2:$A$35,A7,Presupuesto!$H$2:$H$35)</f>
        <v/>
      </c>
      <c r="C7" s="4">
        <f>SUMIF(Presupuesto!$A$2:$A$35,A7,Presupuesto!$I$2:$I$35)</f>
        <v/>
      </c>
      <c r="D7" s="5">
        <f>IF(C7&gt;0,(C7-B7)/C7,"")</f>
        <v/>
      </c>
    </row>
    <row r="8">
      <c r="A8" t="inlineStr">
        <is>
          <t>4. Estructuras metalicas</t>
        </is>
      </c>
      <c r="B8" s="4">
        <f>SUMIF(Presupuesto!$A$2:$A$35,A8,Presupuesto!$H$2:$H$35)</f>
        <v/>
      </c>
      <c r="C8" s="4">
        <f>SUMIF(Presupuesto!$A$2:$A$35,A8,Presupuesto!$I$2:$I$35)</f>
        <v/>
      </c>
      <c r="D8" s="5">
        <f>IF(C8&gt;0,(C8-B8)/C8,"")</f>
        <v/>
      </c>
    </row>
    <row r="9">
      <c r="A9" t="inlineStr">
        <is>
          <t>5. Sillas y complementos</t>
        </is>
      </c>
      <c r="B9" s="4">
        <f>SUMIF(Presupuesto!$A$2:$A$35,A9,Presupuesto!$H$2:$H$35)</f>
        <v/>
      </c>
      <c r="C9" s="4">
        <f>SUMIF(Presupuesto!$A$2:$A$35,A9,Presupuesto!$I$2:$I$35)</f>
        <v/>
      </c>
      <c r="D9" s="5">
        <f>IF(C9&gt;0,(C9-B9)/C9,"")</f>
        <v/>
      </c>
    </row>
    <row r="10">
      <c r="A10" s="6" t="inlineStr">
        <is>
          <t>SUBTOTAL</t>
        </is>
      </c>
      <c r="B10" s="7">
        <f>SUM(B5:B9)</f>
        <v/>
      </c>
      <c r="C10" s="7">
        <f>SUM(C5:C9)</f>
        <v/>
      </c>
      <c r="D10" s="8">
        <f>IF(C10&gt;0,(C10-B10)/C10,"")</f>
        <v/>
      </c>
    </row>
    <row r="11">
      <c r="A11" t="inlineStr">
        <is>
          <t>IVA</t>
        </is>
      </c>
      <c r="B11" s="4" t="n"/>
      <c r="C11" s="4">
        <f>C10*Proyecto!$B$10</f>
        <v/>
      </c>
      <c r="D11" s="5" t="n"/>
    </row>
    <row r="12">
      <c r="A12" s="6" t="inlineStr">
        <is>
          <t>TOTAL</t>
        </is>
      </c>
      <c r="B12" s="7" t="n"/>
      <c r="C12" s="7">
        <f>C10+C11</f>
        <v/>
      </c>
      <c r="D12" s="8" t="n"/>
    </row>
    <row r="13">
      <c r="A13" t="inlineStr">
        <is>
          <t>Anticipo</t>
        </is>
      </c>
      <c r="B13" s="4" t="n"/>
      <c r="C13" s="4">
        <f>C12*Proyecto!$B$11</f>
        <v/>
      </c>
      <c r="D13" s="5" t="n"/>
    </row>
    <row r="15">
      <c r="A15" t="inlineStr">
        <is>
          <t>Items con precio pendiente (no incluidos en totales)</t>
        </is>
      </c>
      <c r="B15">
        <f>COUNTIF(Presupuesto!$J$2:$J$35,"Pendiente")</f>
        <v/>
      </c>
    </row>
    <row r="16">
      <c r="A16" t="inlineStr">
        <is>
          <t>Margen objetivo aplicado a items con costo</t>
        </is>
      </c>
      <c r="B16" s="9">
        <f>Proyecto!$B$9</f>
        <v/>
      </c>
    </row>
    <row r="17">
      <c r="A17" s="2" t="inlineStr">
        <is>
          <t>Items con precio de venta definido por usted (sillas, sofa, mesa) conservan su precio y su margen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60" customWidth="1" min="3" max="3"/>
  </cols>
  <sheetData>
    <row r="1">
      <c r="A1" s="1" t="inlineStr">
        <is>
          <t>PARAMETROS DEL PROYECTO</t>
        </is>
      </c>
    </row>
    <row r="3">
      <c r="A3" s="6" t="inlineStr">
        <is>
          <t>Cliente</t>
        </is>
      </c>
      <c r="B3" s="10" t="inlineStr"/>
      <c r="C3" s="2" t="inlineStr"/>
    </row>
    <row r="4">
      <c r="A4" s="6" t="inlineStr">
        <is>
          <t>NIT / Cedula</t>
        </is>
      </c>
      <c r="B4" s="10" t="inlineStr"/>
      <c r="C4" s="2" t="inlineStr"/>
    </row>
    <row r="5">
      <c r="A5" s="6" t="inlineStr">
        <is>
          <t>Contacto</t>
        </is>
      </c>
      <c r="B5" s="10" t="inlineStr"/>
      <c r="C5" s="2" t="inlineStr"/>
    </row>
    <row r="6">
      <c r="A6" s="6" t="inlineStr">
        <is>
          <t>Proyecto</t>
        </is>
      </c>
      <c r="B6" s="10" t="inlineStr">
        <is>
          <t>Oficinas - divisiones interiores y mobiliario</t>
        </is>
      </c>
      <c r="C6" s="2" t="inlineStr"/>
    </row>
    <row r="7">
      <c r="A7" s="6" t="inlineStr">
        <is>
          <t>Ciudad</t>
        </is>
      </c>
      <c r="B7" s="10" t="inlineStr"/>
      <c r="C7" s="2" t="inlineStr"/>
    </row>
    <row r="8">
      <c r="A8" s="6" t="inlineStr">
        <is>
          <t>Fecha</t>
        </is>
      </c>
      <c r="B8" s="11" t="n">
        <v>46302</v>
      </c>
      <c r="C8" s="2" t="inlineStr"/>
    </row>
    <row r="9">
      <c r="A9" s="6" t="inlineStr">
        <is>
          <t>Margen bruto objetivo (sobre precio de venta)</t>
        </is>
      </c>
      <c r="B9" s="12" t="n">
        <v>0.45</v>
      </c>
      <c r="C9" s="2" t="inlineStr">
        <is>
          <t>Venta = Costo / (1 - margen). Si usted lo define como recargo sobre costo, cambie la formula en Presupuesto!G.</t>
        </is>
      </c>
    </row>
    <row r="10">
      <c r="A10" s="6" t="inlineStr">
        <is>
          <t>IVA</t>
        </is>
      </c>
      <c r="B10" s="12" t="n">
        <v>0.19</v>
      </c>
      <c r="C10" s="2" t="inlineStr">
        <is>
          <t>Ejemplo editable: confirmar con contador.</t>
        </is>
      </c>
    </row>
    <row r="11">
      <c r="A11" s="6" t="inlineStr">
        <is>
          <t>Anticipo</t>
        </is>
      </c>
      <c r="B11" s="12" t="n">
        <v>0.5</v>
      </c>
      <c r="C11" s="2" t="inlineStr"/>
    </row>
    <row r="12">
      <c r="A12" s="6" t="inlineStr">
        <is>
          <t>Altura de divisiones de vidrio (m)</t>
        </is>
      </c>
      <c r="B12" s="10" t="n">
        <v>2.42</v>
      </c>
      <c r="C12" s="2" t="inlineStr">
        <is>
          <t>Dato del cliente.</t>
        </is>
      </c>
    </row>
    <row r="13">
      <c r="A13" s="6" t="inlineStr">
        <is>
          <t>Altura de puertas (m)</t>
        </is>
      </c>
      <c r="B13" s="10" t="n">
        <v>2.1</v>
      </c>
      <c r="C13" s="2" t="inlineStr">
        <is>
          <t>SUPUESTO: las puertas no llegan al cielo raso; confirmar.</t>
        </is>
      </c>
    </row>
    <row r="14">
      <c r="A14" s="6" t="inlineStr">
        <is>
          <t>Ancho maximo de panel de vidrio (m)</t>
        </is>
      </c>
      <c r="B14" s="10" t="n">
        <v>1.2</v>
      </c>
      <c r="C14" s="2" t="inlineStr">
        <is>
          <t>Dato del cliente.</t>
        </is>
      </c>
    </row>
    <row r="15">
      <c r="A15" s="6" t="inlineStr">
        <is>
          <t>Angulos de perfil L por borde (piso y techo)</t>
        </is>
      </c>
      <c r="B15" s="10" t="n">
        <v>2</v>
      </c>
      <c r="C15" s="2" t="inlineStr">
        <is>
          <t>SUPUESTO: un angulo por cada cara del vidrio.</t>
        </is>
      </c>
    </row>
    <row r="16">
      <c r="A16" s="6" t="inlineStr">
        <is>
          <t>% del vidrio con serigrafia / pelicula</t>
        </is>
      </c>
      <c r="B16" s="12" t="n">
        <v>1</v>
      </c>
      <c r="C16" s="2" t="inlineStr">
        <is>
          <t>SUPUESTO: 100% del vidrio lleva serigrafia.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CALCULO DE VIDRIO, PERFILERIA Y PUERTAS</t>
        </is>
      </c>
    </row>
    <row r="2">
      <c r="A2" s="2" t="inlineStr">
        <is>
          <t>Longitudes leidas del plano (aprox.). Confirmar en obra. Celdas amarillas editables.</t>
        </is>
      </c>
    </row>
    <row r="3">
      <c r="A3" s="3" t="inlineStr">
        <is>
          <t>Espacio</t>
        </is>
      </c>
      <c r="B3" s="3" t="inlineStr">
        <is>
          <t>Tramo</t>
        </is>
      </c>
      <c r="C3" s="3" t="inlineStr">
        <is>
          <t>Largo total (m)</t>
        </is>
      </c>
      <c r="D3" s="3" t="inlineStr">
        <is>
          <t>Ancho puerta (m)</t>
        </is>
      </c>
      <c r="E3" s="3" t="inlineStr">
        <is>
          <t>Tipo puerta</t>
        </is>
      </c>
      <c r="F3" s="3" t="inlineStr">
        <is>
          <t>Largo fijo (m)</t>
        </is>
      </c>
      <c r="G3" s="3" t="inlineStr">
        <is>
          <t>Panos fijos</t>
        </is>
      </c>
      <c r="H3" s="3" t="inlineStr">
        <is>
          <t>Area total (m2)</t>
        </is>
      </c>
      <c r="I3" s="3" t="inlineStr">
        <is>
          <t>Area vidrio fijo (m2)</t>
        </is>
      </c>
      <c r="J3" s="3" t="inlineStr">
        <is>
          <t>Area hojas puerta (m2)</t>
        </is>
      </c>
      <c r="K3" s="3" t="inlineStr">
        <is>
          <t>Area sobre puerta (m2)</t>
        </is>
      </c>
    </row>
    <row r="4">
      <c r="A4" s="13" t="inlineStr">
        <is>
          <t>Gerencia</t>
        </is>
      </c>
      <c r="B4" s="13" t="inlineStr">
        <is>
          <t>Pared al pasillo</t>
        </is>
      </c>
      <c r="C4" s="14" t="n">
        <v>4</v>
      </c>
      <c r="D4" s="14" t="n">
        <v>1.37</v>
      </c>
      <c r="E4" s="14" t="inlineStr">
        <is>
          <t>Corrediza</t>
        </is>
      </c>
      <c r="F4" s="15">
        <f>C4-D4</f>
        <v/>
      </c>
      <c r="G4" s="16">
        <f>IF(F4&gt;0,ROUNDUP(F4/Proyecto!$B$14,0),0)</f>
        <v/>
      </c>
      <c r="H4" s="15">
        <f>C4*Proyecto!$B$12</f>
        <v/>
      </c>
      <c r="I4" s="15">
        <f>F4*Proyecto!$B$12</f>
        <v/>
      </c>
      <c r="J4" s="15">
        <f>D4*Proyecto!$B$13</f>
        <v/>
      </c>
      <c r="K4" s="15">
        <f>D4*(Proyecto!$B$12-Proyecto!$B$13)</f>
        <v/>
      </c>
    </row>
    <row r="5">
      <c r="A5" s="13" t="inlineStr">
        <is>
          <t>Gerencia</t>
        </is>
      </c>
      <c r="B5" s="13" t="inlineStr">
        <is>
          <t>Pared con Admin 1</t>
        </is>
      </c>
      <c r="C5" s="14" t="n">
        <v>2.49</v>
      </c>
      <c r="D5" s="14" t="n">
        <v>0</v>
      </c>
      <c r="E5" s="14" t="inlineStr"/>
      <c r="F5" s="15">
        <f>C5-D5</f>
        <v/>
      </c>
      <c r="G5" s="16">
        <f>IF(F5&gt;0,ROUNDUP(F5/Proyecto!$B$14,0),0)</f>
        <v/>
      </c>
      <c r="H5" s="15">
        <f>C5*Proyecto!$B$12</f>
        <v/>
      </c>
      <c r="I5" s="15">
        <f>F5*Proyecto!$B$12</f>
        <v/>
      </c>
      <c r="J5" s="15">
        <f>D5*Proyecto!$B$13</f>
        <v/>
      </c>
      <c r="K5" s="15">
        <f>D5*(Proyecto!$B$12-Proyecto!$B$13)</f>
        <v/>
      </c>
    </row>
    <row r="6">
      <c r="A6" s="13" t="inlineStr">
        <is>
          <t>Admin 1</t>
        </is>
      </c>
      <c r="B6" s="13" t="inlineStr">
        <is>
          <t>Pared al pasillo</t>
        </is>
      </c>
      <c r="C6" s="14" t="n">
        <v>2.23</v>
      </c>
      <c r="D6" s="14" t="n">
        <v>0.75</v>
      </c>
      <c r="E6" s="14" t="inlineStr">
        <is>
          <t>Batiente</t>
        </is>
      </c>
      <c r="F6" s="15">
        <f>C6-D6</f>
        <v/>
      </c>
      <c r="G6" s="16">
        <f>IF(F6&gt;0,ROUNDUP(F6/Proyecto!$B$14,0),0)</f>
        <v/>
      </c>
      <c r="H6" s="15">
        <f>C6*Proyecto!$B$12</f>
        <v/>
      </c>
      <c r="I6" s="15">
        <f>F6*Proyecto!$B$12</f>
        <v/>
      </c>
      <c r="J6" s="15">
        <f>D6*Proyecto!$B$13</f>
        <v/>
      </c>
      <c r="K6" s="15">
        <f>D6*(Proyecto!$B$12-Proyecto!$B$13)</f>
        <v/>
      </c>
    </row>
    <row r="7">
      <c r="A7" s="13" t="inlineStr">
        <is>
          <t>Admin 1</t>
        </is>
      </c>
      <c r="B7" s="13" t="inlineStr">
        <is>
          <t>Pared con Admin 2</t>
        </is>
      </c>
      <c r="C7" s="14" t="n">
        <v>2.48</v>
      </c>
      <c r="D7" s="14" t="n">
        <v>0</v>
      </c>
      <c r="E7" s="14" t="inlineStr"/>
      <c r="F7" s="15">
        <f>C7-D7</f>
        <v/>
      </c>
      <c r="G7" s="16">
        <f>IF(F7&gt;0,ROUNDUP(F7/Proyecto!$B$14,0),0)</f>
        <v/>
      </c>
      <c r="H7" s="15">
        <f>C7*Proyecto!$B$12</f>
        <v/>
      </c>
      <c r="I7" s="15">
        <f>F7*Proyecto!$B$12</f>
        <v/>
      </c>
      <c r="J7" s="15">
        <f>D7*Proyecto!$B$13</f>
        <v/>
      </c>
      <c r="K7" s="15">
        <f>D7*(Proyecto!$B$12-Proyecto!$B$13)</f>
        <v/>
      </c>
    </row>
    <row r="8">
      <c r="A8" s="13" t="inlineStr">
        <is>
          <t>Admin 2</t>
        </is>
      </c>
      <c r="B8" s="13" t="inlineStr">
        <is>
          <t>Pared al pasillo</t>
        </is>
      </c>
      <c r="C8" s="14" t="n">
        <v>2.44</v>
      </c>
      <c r="D8" s="14" t="n">
        <v>0.75</v>
      </c>
      <c r="E8" s="14" t="inlineStr">
        <is>
          <t>Batiente</t>
        </is>
      </c>
      <c r="F8" s="15">
        <f>C8-D8</f>
        <v/>
      </c>
      <c r="G8" s="16">
        <f>IF(F8&gt;0,ROUNDUP(F8/Proyecto!$B$14,0),0)</f>
        <v/>
      </c>
      <c r="H8" s="15">
        <f>C8*Proyecto!$B$12</f>
        <v/>
      </c>
      <c r="I8" s="15">
        <f>F8*Proyecto!$B$12</f>
        <v/>
      </c>
      <c r="J8" s="15">
        <f>D8*Proyecto!$B$13</f>
        <v/>
      </c>
      <c r="K8" s="15">
        <f>D8*(Proyecto!$B$12-Proyecto!$B$13)</f>
        <v/>
      </c>
    </row>
    <row r="9">
      <c r="A9" s="13" t="inlineStr">
        <is>
          <t>Admin 2</t>
        </is>
      </c>
      <c r="B9" s="13" t="inlineStr">
        <is>
          <t>Pared sur</t>
        </is>
      </c>
      <c r="C9" s="14" t="n">
        <v>2.49</v>
      </c>
      <c r="D9" s="14" t="n">
        <v>0</v>
      </c>
      <c r="E9" s="14" t="inlineStr"/>
      <c r="F9" s="15">
        <f>C9-D9</f>
        <v/>
      </c>
      <c r="G9" s="16">
        <f>IF(F9&gt;0,ROUNDUP(F9/Proyecto!$B$14,0),0)</f>
        <v/>
      </c>
      <c r="H9" s="15">
        <f>C9*Proyecto!$B$12</f>
        <v/>
      </c>
      <c r="I9" s="15">
        <f>F9*Proyecto!$B$12</f>
        <v/>
      </c>
      <c r="J9" s="15">
        <f>D9*Proyecto!$B$13</f>
        <v/>
      </c>
      <c r="K9" s="15">
        <f>D9*(Proyecto!$B$12-Proyecto!$B$13)</f>
        <v/>
      </c>
    </row>
    <row r="10">
      <c r="A10" s="13" t="inlineStr">
        <is>
          <t>Sala juntas</t>
        </is>
      </c>
      <c r="B10" s="13" t="inlineStr">
        <is>
          <t>Pared al pasillo</t>
        </is>
      </c>
      <c r="C10" s="14" t="n">
        <v>3.43</v>
      </c>
      <c r="D10" s="14" t="n">
        <v>1.56</v>
      </c>
      <c r="E10" s="14" t="inlineStr">
        <is>
          <t>Corrediza</t>
        </is>
      </c>
      <c r="F10" s="15">
        <f>C10-D10</f>
        <v/>
      </c>
      <c r="G10" s="16">
        <f>IF(F10&gt;0,ROUNDUP(F10/Proyecto!$B$14,0),0)</f>
        <v/>
      </c>
      <c r="H10" s="15">
        <f>C10*Proyecto!$B$12</f>
        <v/>
      </c>
      <c r="I10" s="15">
        <f>F10*Proyecto!$B$12</f>
        <v/>
      </c>
      <c r="J10" s="15">
        <f>D10*Proyecto!$B$13</f>
        <v/>
      </c>
      <c r="K10" s="15">
        <f>D10*(Proyecto!$B$12-Proyecto!$B$13)</f>
        <v/>
      </c>
    </row>
    <row r="11">
      <c r="A11" s="13" t="inlineStr">
        <is>
          <t>Sala juntas</t>
        </is>
      </c>
      <c r="B11" s="13" t="inlineStr">
        <is>
          <t>Pared norte</t>
        </is>
      </c>
      <c r="C11" s="14" t="n">
        <v>1.09</v>
      </c>
      <c r="D11" s="14" t="n">
        <v>0</v>
      </c>
      <c r="E11" s="14" t="inlineStr"/>
      <c r="F11" s="15">
        <f>C11-D11</f>
        <v/>
      </c>
      <c r="G11" s="16">
        <f>IF(F11&gt;0,ROUNDUP(F11/Proyecto!$B$14,0),0)</f>
        <v/>
      </c>
      <c r="H11" s="15">
        <f>C11*Proyecto!$B$12</f>
        <v/>
      </c>
      <c r="I11" s="15">
        <f>F11*Proyecto!$B$12</f>
        <v/>
      </c>
      <c r="J11" s="15">
        <f>D11*Proyecto!$B$13</f>
        <v/>
      </c>
      <c r="K11" s="15">
        <f>D11*(Proyecto!$B$12-Proyecto!$B$13)</f>
        <v/>
      </c>
    </row>
    <row r="12">
      <c r="A12" s="13" t="inlineStr">
        <is>
          <t>Sala juntas</t>
        </is>
      </c>
      <c r="B12" s="13" t="inlineStr">
        <is>
          <t>Pared sur</t>
        </is>
      </c>
      <c r="C12" s="14" t="n">
        <v>2.42</v>
      </c>
      <c r="D12" s="14" t="n">
        <v>0</v>
      </c>
      <c r="E12" s="14" t="inlineStr"/>
      <c r="F12" s="15">
        <f>C12-D12</f>
        <v/>
      </c>
      <c r="G12" s="16">
        <f>IF(F12&gt;0,ROUNDUP(F12/Proyecto!$B$14,0),0)</f>
        <v/>
      </c>
      <c r="H12" s="15">
        <f>C12*Proyecto!$B$12</f>
        <v/>
      </c>
      <c r="I12" s="15">
        <f>F12*Proyecto!$B$12</f>
        <v/>
      </c>
      <c r="J12" s="15">
        <f>D12*Proyecto!$B$13</f>
        <v/>
      </c>
      <c r="K12" s="15">
        <f>D12*(Proyecto!$B$12-Proyecto!$B$13)</f>
        <v/>
      </c>
    </row>
    <row r="13">
      <c r="A13" s="6" t="inlineStr">
        <is>
          <t>TOTAL</t>
        </is>
      </c>
      <c r="C13" s="17">
        <f>SUM(C4:C12)</f>
        <v/>
      </c>
      <c r="D13" s="17">
        <f>SUM(D4:D12)</f>
        <v/>
      </c>
      <c r="F13" s="17">
        <f>SUM(F4:F12)</f>
        <v/>
      </c>
      <c r="G13" s="18">
        <f>SUM(G4:G12)</f>
        <v/>
      </c>
      <c r="H13" s="17">
        <f>SUM(H4:H12)</f>
        <v/>
      </c>
      <c r="I13" s="17">
        <f>SUM(I4:I12)</f>
        <v/>
      </c>
      <c r="J13" s="17">
        <f>SUM(J4:J12)</f>
        <v/>
      </c>
      <c r="K13" s="17">
        <f>SUM(K4:K12)</f>
        <v/>
      </c>
    </row>
    <row r="15">
      <c r="A15" t="inlineStr">
        <is>
          <t>Perfil L 1x1 aluminio - piso (ml)</t>
        </is>
      </c>
      <c r="C15" s="15">
        <f>F13*Proyecto!$B$15</f>
        <v/>
      </c>
    </row>
    <row r="16">
      <c r="A16" t="inlineStr">
        <is>
          <t>Perfil L 1x1 aluminio - techo (ml)</t>
        </is>
      </c>
      <c r="C16" s="15">
        <f>C13*Proyecto!$B$15</f>
        <v/>
      </c>
    </row>
    <row r="17">
      <c r="A17" s="6" t="inlineStr">
        <is>
          <t>Perfil L 1x1 aluminio - TOTAL (ml)</t>
        </is>
      </c>
      <c r="C17" s="15">
        <f>C15+C16</f>
        <v/>
      </c>
    </row>
    <row r="18">
      <c r="A18" t="inlineStr">
        <is>
          <t>Silicona entre panos (ml)</t>
        </is>
      </c>
      <c r="C18" s="15">
        <f>SUMPRODUCT((G4:G12&gt;1)*(G4:G12-1))*Proyecto!$B$12</f>
        <v/>
      </c>
    </row>
    <row r="21">
      <c r="A21" s="3" t="inlineStr">
        <is>
          <t>Puerta</t>
        </is>
      </c>
      <c r="B21" s="3" t="inlineStr">
        <is>
          <t>Tipo</t>
        </is>
      </c>
      <c r="C21" s="3" t="inlineStr">
        <is>
          <t>Ancho total (m)</t>
        </is>
      </c>
      <c r="D21" s="3" t="inlineStr">
        <is>
          <t>Hojas</t>
        </is>
      </c>
      <c r="E21" s="3" t="inlineStr">
        <is>
          <t>Alto (m)</t>
        </is>
      </c>
      <c r="F21" s="3" t="inlineStr">
        <is>
          <t>Marco aluminio (ml)</t>
        </is>
      </c>
      <c r="G21" s="3" t="inlineStr">
        <is>
          <t>Bisagras</t>
        </is>
      </c>
      <c r="H21" s="3" t="inlineStr">
        <is>
          <t>Manijas</t>
        </is>
      </c>
      <c r="I21" s="3" t="inlineStr">
        <is>
          <t>Topes</t>
        </is>
      </c>
      <c r="J21" s="3" t="inlineStr">
        <is>
          <t>Chapa pico de loro</t>
        </is>
      </c>
      <c r="K21" s="3" t="inlineStr">
        <is>
          <t>Pasador</t>
        </is>
      </c>
      <c r="L21" s="3" t="inlineStr">
        <is>
          <t>Sistema corredizo</t>
        </is>
      </c>
    </row>
    <row r="22">
      <c r="A22" s="13" t="inlineStr">
        <is>
          <t>Gerencia</t>
        </is>
      </c>
      <c r="B22" s="13" t="inlineStr">
        <is>
          <t>Corrediza doble</t>
        </is>
      </c>
      <c r="C22" s="14" t="n">
        <v>1.37</v>
      </c>
      <c r="D22" s="10" t="n">
        <v>2</v>
      </c>
      <c r="E22" s="19">
        <f>Proyecto!$B$13</f>
        <v/>
      </c>
      <c r="F22" s="19">
        <f>D22*2*(C22/D22+E22)</f>
        <v/>
      </c>
      <c r="G22" s="10" t="n">
        <v>0</v>
      </c>
      <c r="H22" s="10" t="n">
        <v>2</v>
      </c>
      <c r="I22" s="10" t="n">
        <v>2</v>
      </c>
      <c r="J22" s="10" t="n">
        <v>1</v>
      </c>
      <c r="K22" s="10" t="n">
        <v>0</v>
      </c>
      <c r="L22" s="10" t="n">
        <v>1</v>
      </c>
    </row>
    <row r="23">
      <c r="A23" s="13" t="inlineStr">
        <is>
          <t>Sala juntas</t>
        </is>
      </c>
      <c r="B23" s="13" t="inlineStr">
        <is>
          <t>Corrediza doble</t>
        </is>
      </c>
      <c r="C23" s="14" t="n">
        <v>1.56</v>
      </c>
      <c r="D23" s="10" t="n">
        <v>2</v>
      </c>
      <c r="E23" s="19">
        <f>Proyecto!$B$13</f>
        <v/>
      </c>
      <c r="F23" s="19">
        <f>D23*2*(C23/D23+E23)</f>
        <v/>
      </c>
      <c r="G23" s="10" t="n">
        <v>0</v>
      </c>
      <c r="H23" s="10" t="n">
        <v>2</v>
      </c>
      <c r="I23" s="10" t="n">
        <v>2</v>
      </c>
      <c r="J23" s="10" t="n">
        <v>1</v>
      </c>
      <c r="K23" s="10" t="n">
        <v>0</v>
      </c>
      <c r="L23" s="10" t="n">
        <v>1</v>
      </c>
    </row>
    <row r="24">
      <c r="A24" s="13" t="inlineStr">
        <is>
          <t>Admin 1</t>
        </is>
      </c>
      <c r="B24" s="13" t="inlineStr">
        <is>
          <t>Batiente</t>
        </is>
      </c>
      <c r="C24" s="14" t="n">
        <v>0.75</v>
      </c>
      <c r="D24" s="10" t="n">
        <v>1</v>
      </c>
      <c r="E24" s="19">
        <f>Proyecto!$B$13</f>
        <v/>
      </c>
      <c r="F24" s="19">
        <f>D24*2*(C24/D24+E24)</f>
        <v/>
      </c>
      <c r="G24" s="10" t="n">
        <v>3</v>
      </c>
      <c r="H24" s="10" t="n">
        <v>2</v>
      </c>
      <c r="I24" s="10" t="n">
        <v>1</v>
      </c>
      <c r="J24" s="10" t="n">
        <v>0</v>
      </c>
      <c r="K24" s="10" t="n">
        <v>1</v>
      </c>
      <c r="L24" s="10" t="n">
        <v>0</v>
      </c>
    </row>
    <row r="25">
      <c r="A25" s="13" t="inlineStr">
        <is>
          <t>Admin 2</t>
        </is>
      </c>
      <c r="B25" s="13" t="inlineStr">
        <is>
          <t>Batiente</t>
        </is>
      </c>
      <c r="C25" s="14" t="n">
        <v>0.75</v>
      </c>
      <c r="D25" s="10" t="n">
        <v>1</v>
      </c>
      <c r="E25" s="19">
        <f>Proyecto!$B$13</f>
        <v/>
      </c>
      <c r="F25" s="19">
        <f>D25*2*(C25/D25+E25)</f>
        <v/>
      </c>
      <c r="G25" s="10" t="n">
        <v>3</v>
      </c>
      <c r="H25" s="10" t="n">
        <v>2</v>
      </c>
      <c r="I25" s="10" t="n">
        <v>1</v>
      </c>
      <c r="J25" s="10" t="n">
        <v>0</v>
      </c>
      <c r="K25" s="10" t="n">
        <v>1</v>
      </c>
      <c r="L25" s="10" t="n">
        <v>0</v>
      </c>
    </row>
    <row r="26">
      <c r="A26" s="6" t="inlineStr">
        <is>
          <t>TOTAL</t>
        </is>
      </c>
      <c r="C26" s="17">
        <f>SUM(C22:C25)</f>
        <v/>
      </c>
      <c r="F26" s="17">
        <f>SUM(F22:F25)</f>
        <v/>
      </c>
      <c r="G26" s="18">
        <f>SUM(G22:G25)</f>
        <v/>
      </c>
      <c r="H26" s="18">
        <f>SUM(H22:H25)</f>
        <v/>
      </c>
      <c r="I26" s="18">
        <f>SUM(I22:I25)</f>
        <v/>
      </c>
      <c r="J26" s="18">
        <f>SUM(J22:J25)</f>
        <v/>
      </c>
      <c r="K26" s="18">
        <f>SUM(K22:K25)</f>
        <v/>
      </c>
      <c r="L26" s="18">
        <f>SUM(L22:L25)</f>
        <v/>
      </c>
    </row>
    <row r="28">
      <c r="A28" t="inlineStr">
        <is>
          <t>Notas: 137 cm y 156 cm se tomaron como ancho TOTAL del vano (ambas alas). Cantidades de herrajes son SUPUESTOS a confirmar.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8" customWidth="1" min="5" max="5"/>
    <col width="13" customWidth="1" min="6" max="6"/>
    <col width="12" customWidth="1" min="7" max="7"/>
  </cols>
  <sheetData>
    <row r="1">
      <c r="A1" s="1" t="inlineStr">
        <is>
          <t>OPTIMIZACION DE CORTE - TABLERO 15 mm (2.15 x 2.44 m, Madecentro)</t>
        </is>
      </c>
    </row>
    <row r="2">
      <c r="A2" s="2" t="inlineStr">
        <is>
          <t>Tapas en sandwich 15+15 mm (3 cm): cada tapa lleva 2 capas. Corte guillotina, sierra 4 mm, rotacion permitida.</t>
        </is>
      </c>
    </row>
    <row r="4">
      <c r="A4" s="3" t="inlineStr">
        <is>
          <t>Pieza</t>
        </is>
      </c>
      <c r="B4" s="3" t="inlineStr">
        <is>
          <t>Largo (mm)</t>
        </is>
      </c>
      <c r="C4" s="3" t="inlineStr">
        <is>
          <t>Ancho (mm)</t>
        </is>
      </c>
      <c r="D4" s="3" t="inlineStr">
        <is>
          <t>Tapas</t>
        </is>
      </c>
      <c r="E4" s="3" t="inlineStr">
        <is>
          <t>Capas</t>
        </is>
      </c>
      <c r="F4" s="3" t="inlineStr">
        <is>
          <t>Total piezas</t>
        </is>
      </c>
      <c r="G4" s="3" t="inlineStr">
        <is>
          <t>Area (m2)</t>
        </is>
      </c>
    </row>
    <row r="5">
      <c r="A5" s="13" t="inlineStr">
        <is>
          <t>Admin L - brazo 1.50x0.60</t>
        </is>
      </c>
      <c r="B5" s="10" t="n">
        <v>1500</v>
      </c>
      <c r="C5" s="10" t="n">
        <v>600</v>
      </c>
      <c r="D5" s="10" t="n">
        <v>2</v>
      </c>
      <c r="E5" s="20" t="n">
        <v>2</v>
      </c>
      <c r="F5">
        <f>D5*E5</f>
        <v/>
      </c>
      <c r="G5" s="15">
        <f>B5*C5/1000000*F5</f>
        <v/>
      </c>
    </row>
    <row r="6">
      <c r="A6" s="13" t="inlineStr">
        <is>
          <t>Admin L - brazo 0.90x0.60</t>
        </is>
      </c>
      <c r="B6" s="10" t="n">
        <v>900</v>
      </c>
      <c r="C6" s="10" t="n">
        <v>600</v>
      </c>
      <c r="D6" s="10" t="n">
        <v>2</v>
      </c>
      <c r="E6" s="20" t="n">
        <v>2</v>
      </c>
      <c r="F6">
        <f>D6*E6</f>
        <v/>
      </c>
      <c r="G6" s="15">
        <f>B6*C6/1000000*F6</f>
        <v/>
      </c>
    </row>
    <row r="7">
      <c r="A7" s="13" t="inlineStr">
        <is>
          <t>Gerencia - frente 1.70x0.75</t>
        </is>
      </c>
      <c r="B7" s="10" t="n">
        <v>1700</v>
      </c>
      <c r="C7" s="10" t="n">
        <v>750</v>
      </c>
      <c r="D7" s="10" t="n">
        <v>1</v>
      </c>
      <c r="E7" s="20" t="n">
        <v>2</v>
      </c>
      <c r="F7">
        <f>D7*E7</f>
        <v/>
      </c>
      <c r="G7" s="15">
        <f>B7*C7/1000000*F7</f>
        <v/>
      </c>
    </row>
    <row r="8">
      <c r="A8" s="13" t="inlineStr">
        <is>
          <t>Gerencia - retorno 0.95x0.60</t>
        </is>
      </c>
      <c r="B8" s="10" t="n">
        <v>950</v>
      </c>
      <c r="C8" s="10" t="n">
        <v>600</v>
      </c>
      <c r="D8" s="10" t="n">
        <v>1</v>
      </c>
      <c r="E8" s="20" t="n">
        <v>2</v>
      </c>
      <c r="F8">
        <f>D8*E8</f>
        <v/>
      </c>
      <c r="G8" s="15">
        <f>B8*C8/1000000*F8</f>
        <v/>
      </c>
    </row>
    <row r="9">
      <c r="A9" s="13" t="inlineStr">
        <is>
          <t>Mesa juntas 1.76x1.15</t>
        </is>
      </c>
      <c r="B9" s="10" t="n">
        <v>1760</v>
      </c>
      <c r="C9" s="10" t="n">
        <v>1150</v>
      </c>
      <c r="D9" s="10" t="n">
        <v>1</v>
      </c>
      <c r="E9" s="20" t="n">
        <v>2</v>
      </c>
      <c r="F9">
        <f>D9*E9</f>
        <v/>
      </c>
      <c r="G9" s="15">
        <f>B9*C9/1000000*F9</f>
        <v/>
      </c>
    </row>
    <row r="10">
      <c r="A10" s="13" t="inlineStr">
        <is>
          <t>Isla - puesto 1.37x0.60</t>
        </is>
      </c>
      <c r="B10" s="10" t="n">
        <v>1370</v>
      </c>
      <c r="C10" s="10" t="n">
        <v>600</v>
      </c>
      <c r="D10" s="10" t="n">
        <v>6</v>
      </c>
      <c r="E10" s="20" t="n">
        <v>2</v>
      </c>
      <c r="F10">
        <f>D10*E10</f>
        <v/>
      </c>
      <c r="G10" s="15">
        <f>B10*C10/1000000*F10</f>
        <v/>
      </c>
    </row>
    <row r="11">
      <c r="A11" s="6" t="inlineStr">
        <is>
          <t>TOTAL</t>
        </is>
      </c>
      <c r="F11">
        <f>SUM(F5:F10)</f>
        <v/>
      </c>
      <c r="G11" s="15">
        <f>SUM(G5:G10)</f>
        <v/>
      </c>
    </row>
    <row r="13">
      <c r="A13" s="6" t="inlineStr">
        <is>
          <t>Tapas armadas y canto rigido 3 cm (todos los bordes)</t>
        </is>
      </c>
    </row>
    <row r="14">
      <c r="A14" s="3" t="inlineStr">
        <is>
          <t>Tapa</t>
        </is>
      </c>
      <c r="B14" s="3" t="inlineStr">
        <is>
          <t>Cantidad</t>
        </is>
      </c>
      <c r="C14" s="3" t="inlineStr">
        <is>
          <t>Perimetro c/u (m)</t>
        </is>
      </c>
      <c r="D14" s="3" t="inlineStr">
        <is>
          <t>Canto total (ml)</t>
        </is>
      </c>
      <c r="E14" s="3" t="inlineStr">
        <is>
          <t>Area 1 capa c/u (m2)</t>
        </is>
      </c>
    </row>
    <row r="15">
      <c r="A15" s="13" t="inlineStr">
        <is>
          <t>Escritorio admin L 1.50x1.50 (60 cm)</t>
        </is>
      </c>
      <c r="B15" s="10" t="n">
        <v>2</v>
      </c>
      <c r="C15" s="10" t="n">
        <v>6</v>
      </c>
      <c r="D15" s="15">
        <f>B15*C15</f>
        <v/>
      </c>
      <c r="E15" s="10" t="n">
        <v>1.44</v>
      </c>
    </row>
    <row r="16">
      <c r="A16" s="13" t="inlineStr">
        <is>
          <t>Escritorio gerencia L (1.70x0.75 + retorno 1.70x0.60)</t>
        </is>
      </c>
      <c r="B16" s="10" t="n">
        <v>1</v>
      </c>
      <c r="C16" s="10" t="n">
        <v>6.8</v>
      </c>
      <c r="D16" s="15">
        <f>B16*C16</f>
        <v/>
      </c>
      <c r="E16" s="10" t="n">
        <v>1.845</v>
      </c>
    </row>
    <row r="17">
      <c r="A17" s="13" t="inlineStr">
        <is>
          <t>Mesa de juntas 1.76x1.15</t>
        </is>
      </c>
      <c r="B17" s="10" t="n">
        <v>1</v>
      </c>
      <c r="C17" s="10" t="n">
        <v>5.82</v>
      </c>
      <c r="D17" s="15">
        <f>B17*C17</f>
        <v/>
      </c>
      <c r="E17" s="10" t="n">
        <v>2.024</v>
      </c>
    </row>
    <row r="18">
      <c r="A18" s="13" t="inlineStr">
        <is>
          <t>Isla - puesto de trabajo 1.37x0.60</t>
        </is>
      </c>
      <c r="B18" s="10" t="n">
        <v>6</v>
      </c>
      <c r="C18" s="10" t="n">
        <v>3.94</v>
      </c>
      <c r="D18" s="15">
        <f>B18*C18</f>
        <v/>
      </c>
      <c r="E18" s="10" t="n">
        <v>0.822</v>
      </c>
    </row>
    <row r="19">
      <c r="A19" s="6" t="inlineStr">
        <is>
          <t>TOTAL</t>
        </is>
      </c>
      <c r="D19" s="15">
        <f>SUM(D15:D18)</f>
        <v/>
      </c>
      <c r="E19" s="15">
        <f>SUMPRODUCT(B15:B18,E15:E18)</f>
        <v/>
      </c>
    </row>
    <row r="21">
      <c r="A21" s="6" t="inlineStr">
        <is>
          <t>RESULTADO DE LA OPTIMIZACION</t>
        </is>
      </c>
    </row>
    <row r="22">
      <c r="A22" t="inlineStr">
        <is>
          <t>Hojas necesarias (resultado del optimizador)</t>
        </is>
      </c>
      <c r="B22" s="6" t="n">
        <v>6</v>
      </c>
    </row>
    <row r="23">
      <c r="A23" t="inlineStr">
        <is>
          <t>Hojas minimas teoricas (area piezas / area hoja)</t>
        </is>
      </c>
      <c r="B23" s="15">
        <f>G11/(2.15*2.44)</f>
        <v/>
      </c>
    </row>
    <row r="24">
      <c r="A24" t="inlineStr">
        <is>
          <t>Aprovechamiento sobre las hojas compradas</t>
        </is>
      </c>
      <c r="B24" s="9">
        <f>G11/(B22*2.15*2.44)</f>
        <v/>
      </c>
    </row>
    <row r="26">
      <c r="A26" s="21" t="inlineStr">
        <is>
          <t>Nota: la hoja 6 solo lleva 1 pieza (0.90x0.60, capa inferior oculta). Si esa capa se arma con retales de otras hojas, se compran 5 hojas.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4" customWidth="1" min="3" max="3"/>
    <col width="14" customWidth="1" min="4" max="4"/>
  </cols>
  <sheetData>
    <row r="1">
      <c r="A1" s="1" t="inlineStr">
        <is>
          <t>OPTIMIZACION DE CORTE - TUBO CUADRADO 2x2" CAL. 18 (barras de 6 m)</t>
        </is>
      </c>
    </row>
    <row r="2">
      <c r="A2" s="2" t="inlineStr">
        <is>
          <t>Supuesto de diseno: perimetro bajo la tapa + 4 patas de 70 cm + travesanos. Sierra 3 mm.</t>
        </is>
      </c>
    </row>
    <row r="4">
      <c r="A4" s="3" t="inlineStr">
        <is>
          <t>Barra</t>
        </is>
      </c>
      <c r="B4" s="3" t="inlineStr">
        <is>
          <t>Cortes (mm)</t>
        </is>
      </c>
      <c r="C4" s="3" t="inlineStr">
        <is>
          <t>Usado (mm)</t>
        </is>
      </c>
      <c r="D4" s="3" t="inlineStr">
        <is>
          <t>Sobrante (mm)</t>
        </is>
      </c>
    </row>
    <row r="5">
      <c r="A5" t="n">
        <v>1</v>
      </c>
      <c r="B5" t="inlineStr">
        <is>
          <t>4000 (Isla) + 1760 (Mesa juntas)</t>
        </is>
      </c>
      <c r="C5" t="n">
        <v>5763</v>
      </c>
      <c r="D5" t="n">
        <v>237</v>
      </c>
    </row>
    <row r="6">
      <c r="A6" t="n">
        <v>2</v>
      </c>
      <c r="B6" t="inlineStr">
        <is>
          <t>4000 (Isla) + 1760 (Mesa juntas)</t>
        </is>
      </c>
      <c r="C6" t="n">
        <v>5763</v>
      </c>
      <c r="D6" t="n">
        <v>237</v>
      </c>
    </row>
    <row r="7">
      <c r="A7" t="n">
        <v>3</v>
      </c>
      <c r="B7" t="inlineStr">
        <is>
          <t>4000 (Isla) + 1700 (Gerencia)</t>
        </is>
      </c>
      <c r="C7" t="n">
        <v>5703</v>
      </c>
      <c r="D7" t="n">
        <v>297</v>
      </c>
    </row>
    <row r="8">
      <c r="A8" t="n">
        <v>4</v>
      </c>
      <c r="B8" t="inlineStr">
        <is>
          <t>1700 (Gerencia) + 1500 (Admin) + 1500 (Admin) + 1200 (Isla)</t>
        </is>
      </c>
      <c r="C8" t="n">
        <v>5909</v>
      </c>
      <c r="D8" t="n">
        <v>91</v>
      </c>
    </row>
    <row r="9">
      <c r="A9" t="n">
        <v>5</v>
      </c>
      <c r="B9" t="inlineStr">
        <is>
          <t>1500 (Admin) + 1500 (Admin) + 1200 (Isla) + 1150 (Mesa juntas) + 600 (Admin)</t>
        </is>
      </c>
      <c r="C9" t="n">
        <v>5962</v>
      </c>
      <c r="D9" t="n">
        <v>38</v>
      </c>
    </row>
    <row r="10">
      <c r="A10" t="n">
        <v>6</v>
      </c>
      <c r="B10" t="inlineStr">
        <is>
          <t>1150 (Mesa juntas) + 1100 (Gerencia) + 1050 (Mesa juntas) + 1050 (Mesa juntas) + 950 (Gerencia) + 600 (Admin)</t>
        </is>
      </c>
      <c r="C10" t="n">
        <v>5915</v>
      </c>
      <c r="D10" t="n">
        <v>85</v>
      </c>
    </row>
    <row r="11">
      <c r="A11" t="n">
        <v>7</v>
      </c>
      <c r="B11" t="inlineStr">
        <is>
          <t>900 (Admin) + 900 (Admin) + 900 (Admin) + 900 (Admin) + 750 (Gerencia) + 700 (Admin) + 700 (Admin)</t>
        </is>
      </c>
      <c r="C11" t="n">
        <v>5768</v>
      </c>
      <c r="D11" t="n">
        <v>232</v>
      </c>
    </row>
    <row r="12">
      <c r="A12" t="n">
        <v>8</v>
      </c>
      <c r="B12" t="inlineStr">
        <is>
          <t>700 (Admin) + 700 (Admin) + 700 (Admin) + 700 (Admin) + 700 (Admin) + 700 (Admin) + 700 (Gerencia) + 700 (Gerencia)</t>
        </is>
      </c>
      <c r="C12" t="n">
        <v>5621</v>
      </c>
      <c r="D12" t="n">
        <v>379</v>
      </c>
    </row>
    <row r="13">
      <c r="A13" t="n">
        <v>9</v>
      </c>
      <c r="B13" t="inlineStr">
        <is>
          <t>700 (Gerencia) + 700 (Gerencia) + 700 (Mesa juntas) + 700 (Mesa juntas) + 700 (Mesa juntas) + 700 (Mesa juntas) + 700 (Isla) + 700 (Isla)</t>
        </is>
      </c>
      <c r="C13" t="n">
        <v>5621</v>
      </c>
      <c r="D13" t="n">
        <v>379</v>
      </c>
    </row>
    <row r="14">
      <c r="A14" t="n">
        <v>10</v>
      </c>
      <c r="B14" t="inlineStr">
        <is>
          <t>700 (Isla) + 700 (Isla) + 600 (Admin) + 600 (Admin) + 600 (Gerencia)</t>
        </is>
      </c>
      <c r="C14" t="n">
        <v>3212</v>
      </c>
      <c r="D14" t="n">
        <v>2788</v>
      </c>
    </row>
    <row r="15">
      <c r="A15" s="6" t="inlineStr">
        <is>
          <t>Total</t>
        </is>
      </c>
      <c r="B15" t="inlineStr">
        <is>
          <t>Metros lineales de corte: 55.12 m</t>
        </is>
      </c>
    </row>
    <row r="16">
      <c r="A16" t="inlineStr">
        <is>
          <t>Barras</t>
        </is>
      </c>
      <c r="B1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9" customWidth="1" min="4" max="4"/>
    <col width="11" customWidth="1" min="5" max="5"/>
    <col width="14" customWidth="1" min="6" max="6"/>
    <col width="14" customWidth="1" min="7" max="7"/>
    <col width="16" customWidth="1" min="8" max="8"/>
    <col width="16" customWidth="1" min="9" max="9"/>
    <col width="13" customWidth="1" min="10" max="10"/>
    <col width="10" customWidth="1" min="11" max="11"/>
    <col width="50" customWidth="1" min="12" max="12"/>
  </cols>
  <sheetData>
    <row r="1">
      <c r="A1" s="3" t="inlineStr">
        <is>
          <t>Capitulo</t>
        </is>
      </c>
      <c r="B1" s="3" t="inlineStr">
        <is>
          <t>Codigo</t>
        </is>
      </c>
      <c r="C1" s="3" t="inlineStr">
        <is>
          <t>Descripcion</t>
        </is>
      </c>
      <c r="D1" s="3" t="inlineStr">
        <is>
          <t>UdM</t>
        </is>
      </c>
      <c r="E1" s="3" t="inlineStr">
        <is>
          <t>Cantidad</t>
        </is>
      </c>
      <c r="F1" s="3" t="inlineStr">
        <is>
          <t>Costo unit.</t>
        </is>
      </c>
      <c r="G1" s="3" t="inlineStr">
        <is>
          <t>Venta unit.</t>
        </is>
      </c>
      <c r="H1" s="3" t="inlineStr">
        <is>
          <t>Costo total</t>
        </is>
      </c>
      <c r="I1" s="3" t="inlineStr">
        <is>
          <t>Venta total</t>
        </is>
      </c>
      <c r="J1" s="3" t="inlineStr">
        <is>
          <t>Estado precio</t>
        </is>
      </c>
      <c r="K1" s="3" t="inlineStr">
        <is>
          <t>Margen %</t>
        </is>
      </c>
      <c r="L1" s="3" t="inlineStr">
        <is>
          <t>Observacion</t>
        </is>
      </c>
    </row>
    <row r="2">
      <c r="A2" s="22" t="inlineStr">
        <is>
          <t>1. Divisiones de vidrio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13" t="inlineStr">
        <is>
          <t>1. Divisiones de vidrio</t>
        </is>
      </c>
      <c r="B3" s="13" t="inlineStr">
        <is>
          <t>VID-SER-10</t>
        </is>
      </c>
      <c r="C3" s="13">
        <f>IFERROR(VLOOKUP($B3,Catalogo!$A:$J,2,FALSE),"CODIGO NO ENCONTRADO")</f>
        <v/>
      </c>
      <c r="D3" s="13">
        <f>IFERROR(VLOOKUP($B3,Catalogo!$A:$J,4,FALSE),"")</f>
        <v/>
      </c>
      <c r="E3" s="14">
        <f>Calculo_Vidrio!H13*Proyecto!$B$16</f>
        <v/>
      </c>
      <c r="F3" s="24">
        <f>IFERROR(N(VLOOKUP($B3,Catalogo!$A:$J,5,FALSE)),0)</f>
        <v/>
      </c>
      <c r="G3" s="24">
        <f>IFERROR(IF(N(VLOOKUP($B3,Catalogo!$A:$J,6,FALSE))&gt;0,VLOOKUP($B3,Catalogo!$A:$J,6,FALSE),IF(F3&gt;0,F3/(1-Proyecto!$B$9),0)),0)</f>
        <v/>
      </c>
      <c r="H3" s="24">
        <f>E3*F3</f>
        <v/>
      </c>
      <c r="I3" s="24">
        <f>E3*G3</f>
        <v/>
      </c>
      <c r="J3" s="13">
        <f>IFERROR(VLOOKUP($B3,Catalogo!$A:$J,9,FALSE),"")</f>
        <v/>
      </c>
      <c r="K3" s="25">
        <f>IF(I3&gt;0,(I3-H3)/I3,"")</f>
        <v/>
      </c>
      <c r="L3" s="13" t="inlineStr">
        <is>
          <t>Incluye hojas de puerta y paños sobre puertas. Negro gerencia / blanco resto.</t>
        </is>
      </c>
    </row>
    <row r="4">
      <c r="A4" s="13" t="inlineStr">
        <is>
          <t>1. Divisiones de vidrio</t>
        </is>
      </c>
      <c r="B4" s="13" t="inlineStr">
        <is>
          <t>VID-TEM-10</t>
        </is>
      </c>
      <c r="C4" s="13">
        <f>IFERROR(VLOOKUP($B4,Catalogo!$A:$J,2,FALSE),"CODIGO NO ENCONTRADO")</f>
        <v/>
      </c>
      <c r="D4" s="13">
        <f>IFERROR(VLOOKUP($B4,Catalogo!$A:$J,4,FALSE),"")</f>
        <v/>
      </c>
      <c r="E4" s="14">
        <f>Calculo_Vidrio!H13*(1-Proyecto!$B$16)</f>
        <v/>
      </c>
      <c r="F4" s="24">
        <f>IFERROR(N(VLOOKUP($B4,Catalogo!$A:$J,5,FALSE)),0)</f>
        <v/>
      </c>
      <c r="G4" s="24">
        <f>IFERROR(IF(N(VLOOKUP($B4,Catalogo!$A:$J,6,FALSE))&gt;0,VLOOKUP($B4,Catalogo!$A:$J,6,FALSE),IF(F4&gt;0,F4/(1-Proyecto!$B$9),0)),0)</f>
        <v/>
      </c>
      <c r="H4" s="24">
        <f>E4*F4</f>
        <v/>
      </c>
      <c r="I4" s="24">
        <f>E4*G4</f>
        <v/>
      </c>
      <c r="J4" s="13">
        <f>IFERROR(VLOOKUP($B4,Catalogo!$A:$J,9,FALSE),"")</f>
        <v/>
      </c>
      <c r="K4" s="25">
        <f>IF(I4&gt;0,(I4-H4)/I4,"")</f>
        <v/>
      </c>
      <c r="L4" s="13" t="inlineStr">
        <is>
          <t>Vidrio transparente (si no todo lleva serigrafia).</t>
        </is>
      </c>
    </row>
    <row r="5">
      <c r="A5" s="13" t="inlineStr">
        <is>
          <t>1. Divisiones de vidrio</t>
        </is>
      </c>
      <c r="B5" s="13" t="inlineStr">
        <is>
          <t>PER-L1-AL</t>
        </is>
      </c>
      <c r="C5" s="13">
        <f>IFERROR(VLOOKUP($B5,Catalogo!$A:$J,2,FALSE),"CODIGO NO ENCONTRADO")</f>
        <v/>
      </c>
      <c r="D5" s="13">
        <f>IFERROR(VLOOKUP($B5,Catalogo!$A:$J,4,FALSE),"")</f>
        <v/>
      </c>
      <c r="E5" s="14">
        <f>Calculo_Vidrio!C17</f>
        <v/>
      </c>
      <c r="F5" s="24">
        <f>IFERROR(N(VLOOKUP($B5,Catalogo!$A:$J,5,FALSE)),0)</f>
        <v/>
      </c>
      <c r="G5" s="24">
        <f>IFERROR(IF(N(VLOOKUP($B5,Catalogo!$A:$J,6,FALSE))&gt;0,VLOOKUP($B5,Catalogo!$A:$J,6,FALSE),IF(F5&gt;0,F5/(1-Proyecto!$B$9),0)),0)</f>
        <v/>
      </c>
      <c r="H5" s="24">
        <f>E5*F5</f>
        <v/>
      </c>
      <c r="I5" s="24">
        <f>E5*G5</f>
        <v/>
      </c>
      <c r="J5" s="13">
        <f>IFERROR(VLOOKUP($B5,Catalogo!$A:$J,9,FALSE),"")</f>
        <v/>
      </c>
      <c r="K5" s="25">
        <f>IF(I5&gt;0,(I5-H5)/I5,"")</f>
        <v/>
      </c>
      <c r="L5" s="13" t="inlineStr">
        <is>
          <t>2 angulos por borde, piso y techo.</t>
        </is>
      </c>
    </row>
    <row r="6">
      <c r="A6" s="13" t="inlineStr">
        <is>
          <t>1. Divisiones de vidrio</t>
        </is>
      </c>
      <c r="B6" s="13" t="inlineStr">
        <is>
          <t>SIL-EST</t>
        </is>
      </c>
      <c r="C6" s="13">
        <f>IFERROR(VLOOKUP($B6,Catalogo!$A:$J,2,FALSE),"CODIGO NO ENCONTRADO")</f>
        <v/>
      </c>
      <c r="D6" s="13">
        <f>IFERROR(VLOOKUP($B6,Catalogo!$A:$J,4,FALSE),"")</f>
        <v/>
      </c>
      <c r="E6" s="14">
        <f>Calculo_Vidrio!C18</f>
        <v/>
      </c>
      <c r="F6" s="24">
        <f>IFERROR(N(VLOOKUP($B6,Catalogo!$A:$J,5,FALSE)),0)</f>
        <v/>
      </c>
      <c r="G6" s="24">
        <f>IFERROR(IF(N(VLOOKUP($B6,Catalogo!$A:$J,6,FALSE))&gt;0,VLOOKUP($B6,Catalogo!$A:$J,6,FALSE),IF(F6&gt;0,F6/(1-Proyecto!$B$9),0)),0)</f>
        <v/>
      </c>
      <c r="H6" s="24">
        <f>E6*F6</f>
        <v/>
      </c>
      <c r="I6" s="24">
        <f>E6*G6</f>
        <v/>
      </c>
      <c r="J6" s="13">
        <f>IFERROR(VLOOKUP($B6,Catalogo!$A:$J,9,FALSE),"")</f>
        <v/>
      </c>
      <c r="K6" s="25">
        <f>IF(I6&gt;0,(I6-H6)/I6,"")</f>
        <v/>
      </c>
      <c r="L6" s="13" t="inlineStr">
        <is>
          <t>Union entre panos.</t>
        </is>
      </c>
    </row>
    <row r="7">
      <c r="A7" s="13" t="inlineStr">
        <is>
          <t>1. Divisiones de vidrio</t>
        </is>
      </c>
      <c r="B7" s="13" t="inlineStr">
        <is>
          <t>MO-VID-INST</t>
        </is>
      </c>
      <c r="C7" s="13">
        <f>IFERROR(VLOOKUP($B7,Catalogo!$A:$J,2,FALSE),"CODIGO NO ENCONTRADO")</f>
        <v/>
      </c>
      <c r="D7" s="13">
        <f>IFERROR(VLOOKUP($B7,Catalogo!$A:$J,4,FALSE),"")</f>
        <v/>
      </c>
      <c r="E7" s="14">
        <f>Calculo_Vidrio!H13</f>
        <v/>
      </c>
      <c r="F7" s="24">
        <f>IFERROR(N(VLOOKUP($B7,Catalogo!$A:$J,5,FALSE)),0)</f>
        <v/>
      </c>
      <c r="G7" s="24">
        <f>IFERROR(IF(N(VLOOKUP($B7,Catalogo!$A:$J,6,FALSE))&gt;0,VLOOKUP($B7,Catalogo!$A:$J,6,FALSE),IF(F7&gt;0,F7/(1-Proyecto!$B$9),0)),0)</f>
        <v/>
      </c>
      <c r="H7" s="24">
        <f>E7*F7</f>
        <v/>
      </c>
      <c r="I7" s="24">
        <f>E7*G7</f>
        <v/>
      </c>
      <c r="J7" s="13">
        <f>IFERROR(VLOOKUP($B7,Catalogo!$A:$J,9,FALSE),"")</f>
        <v/>
      </c>
      <c r="K7" s="25">
        <f>IF(I7&gt;0,(I7-H7)/I7,"")</f>
        <v/>
      </c>
      <c r="L7" s="13" t="inlineStr">
        <is>
          <t>Subcontratista, $/m2 instalado.</t>
        </is>
      </c>
    </row>
    <row r="8">
      <c r="A8" s="13" t="inlineStr">
        <is>
          <t>1. Divisiones de vidrio</t>
        </is>
      </c>
      <c r="B8" s="13" t="inlineStr">
        <is>
          <t>BOQ-VID</t>
        </is>
      </c>
      <c r="C8" s="13">
        <f>IFERROR(VLOOKUP($B8,Catalogo!$A:$J,2,FALSE),"CODIGO NO ENCONTRADO")</f>
        <v/>
      </c>
      <c r="D8" s="13">
        <f>IFERROR(VLOOKUP($B8,Catalogo!$A:$J,4,FALSE),"")</f>
        <v/>
      </c>
      <c r="E8" s="14">
        <f>Calculo_Vidrio!J26</f>
        <v/>
      </c>
      <c r="F8" s="24">
        <f>IFERROR(N(VLOOKUP($B8,Catalogo!$A:$J,5,FALSE)),0)</f>
        <v/>
      </c>
      <c r="G8" s="24">
        <f>IFERROR(IF(N(VLOOKUP($B8,Catalogo!$A:$J,6,FALSE))&gt;0,VLOOKUP($B8,Catalogo!$A:$J,6,FALSE),IF(F8&gt;0,F8/(1-Proyecto!$B$9),0)),0)</f>
        <v/>
      </c>
      <c r="H8" s="24">
        <f>E8*F8</f>
        <v/>
      </c>
      <c r="I8" s="24">
        <f>E8*G8</f>
        <v/>
      </c>
      <c r="J8" s="13">
        <f>IFERROR(VLOOKUP($B8,Catalogo!$A:$J,9,FALSE),"")</f>
        <v/>
      </c>
      <c r="K8" s="25">
        <f>IF(I8&gt;0,(I8-H8)/I8,"")</f>
        <v/>
      </c>
      <c r="L8" s="13" t="inlineStr">
        <is>
          <t>Boquete por chapa pico de loro (provisional).</t>
        </is>
      </c>
    </row>
    <row r="9">
      <c r="A9" s="13" t="inlineStr">
        <is>
          <t>1. Divisiones de vidrio</t>
        </is>
      </c>
      <c r="B9" s="13" t="inlineStr">
        <is>
          <t>ORI-VID</t>
        </is>
      </c>
      <c r="C9" s="13">
        <f>IFERROR(VLOOKUP($B9,Catalogo!$A:$J,2,FALSE),"CODIGO NO ENCONTRADO")</f>
        <v/>
      </c>
      <c r="D9" s="13">
        <f>IFERROR(VLOOKUP($B9,Catalogo!$A:$J,4,FALSE),"")</f>
        <v/>
      </c>
      <c r="E9" s="14">
        <f>Calculo_Vidrio!K26*2</f>
        <v/>
      </c>
      <c r="F9" s="24">
        <f>IFERROR(N(VLOOKUP($B9,Catalogo!$A:$J,5,FALSE)),0)</f>
        <v/>
      </c>
      <c r="G9" s="24">
        <f>IFERROR(IF(N(VLOOKUP($B9,Catalogo!$A:$J,6,FALSE))&gt;0,VLOOKUP($B9,Catalogo!$A:$J,6,FALSE),IF(F9&gt;0,F9/(1-Proyecto!$B$9),0)),0)</f>
        <v/>
      </c>
      <c r="H9" s="24">
        <f>E9*F9</f>
        <v/>
      </c>
      <c r="I9" s="24">
        <f>E9*G9</f>
        <v/>
      </c>
      <c r="J9" s="13">
        <f>IFERROR(VLOOKUP($B9,Catalogo!$A:$J,9,FALSE),"")</f>
        <v/>
      </c>
      <c r="K9" s="25">
        <f>IF(I9&gt;0,(I9-H9)/I9,"")</f>
        <v/>
      </c>
      <c r="L9" s="13" t="inlineStr">
        <is>
          <t>2 orificios por pasador (provisional).</t>
        </is>
      </c>
    </row>
    <row r="10">
      <c r="A10" s="22" t="inlineStr">
        <is>
          <t>2. Puertas y herrajes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13" t="inlineStr">
        <is>
          <t>2. Puertas y herrajes</t>
        </is>
      </c>
      <c r="B11" s="13" t="inlineStr">
        <is>
          <t>PTA-MARCO-AL</t>
        </is>
      </c>
      <c r="C11" s="13">
        <f>IFERROR(VLOOKUP($B11,Catalogo!$A:$J,2,FALSE),"CODIGO NO ENCONTRADO")</f>
        <v/>
      </c>
      <c r="D11" s="13">
        <f>IFERROR(VLOOKUP($B11,Catalogo!$A:$J,4,FALSE),"")</f>
        <v/>
      </c>
      <c r="E11" s="14">
        <f>Calculo_Vidrio!F26</f>
        <v/>
      </c>
      <c r="F11" s="24">
        <f>IFERROR(N(VLOOKUP($B11,Catalogo!$A:$J,5,FALSE)),0)</f>
        <v/>
      </c>
      <c r="G11" s="24">
        <f>IFERROR(IF(N(VLOOKUP($B11,Catalogo!$A:$J,6,FALSE))&gt;0,VLOOKUP($B11,Catalogo!$A:$J,6,FALSE),IF(F11&gt;0,F11/(1-Proyecto!$B$9),0)),0)</f>
        <v/>
      </c>
      <c r="H11" s="24">
        <f>E11*F11</f>
        <v/>
      </c>
      <c r="I11" s="24">
        <f>E11*G11</f>
        <v/>
      </c>
      <c r="J11" s="13">
        <f>IFERROR(VLOOKUP($B11,Catalogo!$A:$J,9,FALSE),"")</f>
        <v/>
      </c>
      <c r="K11" s="25">
        <f>IF(I11&gt;0,(I11-H11)/I11,"")</f>
        <v/>
      </c>
      <c r="L11" s="13" t="inlineStr">
        <is>
          <t>Marco aluminio para las 4 puertas.</t>
        </is>
      </c>
    </row>
    <row r="12">
      <c r="A12" s="13" t="inlineStr">
        <is>
          <t>2. Puertas y herrajes</t>
        </is>
      </c>
      <c r="B12" s="13" t="inlineStr">
        <is>
          <t>PTA-CORR</t>
        </is>
      </c>
      <c r="C12" s="13">
        <f>IFERROR(VLOOKUP($B12,Catalogo!$A:$J,2,FALSE),"CODIGO NO ENCONTRADO")</f>
        <v/>
      </c>
      <c r="D12" s="13">
        <f>IFERROR(VLOOKUP($B12,Catalogo!$A:$J,4,FALSE),"")</f>
        <v/>
      </c>
      <c r="E12" s="14">
        <f>Calculo_Vidrio!L26</f>
        <v/>
      </c>
      <c r="F12" s="24">
        <f>IFERROR(N(VLOOKUP($B12,Catalogo!$A:$J,5,FALSE)),0)</f>
        <v/>
      </c>
      <c r="G12" s="24">
        <f>IFERROR(IF(N(VLOOKUP($B12,Catalogo!$A:$J,6,FALSE))&gt;0,VLOOKUP($B12,Catalogo!$A:$J,6,FALSE),IF(F12&gt;0,F12/(1-Proyecto!$B$9),0)),0)</f>
        <v/>
      </c>
      <c r="H12" s="24">
        <f>E12*F12</f>
        <v/>
      </c>
      <c r="I12" s="24">
        <f>E12*G12</f>
        <v/>
      </c>
      <c r="J12" s="13">
        <f>IFERROR(VLOOKUP($B12,Catalogo!$A:$J,9,FALSE),"")</f>
        <v/>
      </c>
      <c r="K12" s="25">
        <f>IF(I12&gt;0,(I12-H12)/I12,"")</f>
        <v/>
      </c>
      <c r="L12" s="13" t="inlineStr">
        <is>
          <t>Gerencia y sala de juntas.</t>
        </is>
      </c>
    </row>
    <row r="13">
      <c r="A13" s="13" t="inlineStr">
        <is>
          <t>2. Puertas y herrajes</t>
        </is>
      </c>
      <c r="B13" s="13" t="inlineStr">
        <is>
          <t>PTA-BIS</t>
        </is>
      </c>
      <c r="C13" s="13">
        <f>IFERROR(VLOOKUP($B13,Catalogo!$A:$J,2,FALSE),"CODIGO NO ENCONTRADO")</f>
        <v/>
      </c>
      <c r="D13" s="13">
        <f>IFERROR(VLOOKUP($B13,Catalogo!$A:$J,4,FALSE),"")</f>
        <v/>
      </c>
      <c r="E13" s="14">
        <f>Calculo_Vidrio!G26</f>
        <v/>
      </c>
      <c r="F13" s="24">
        <f>IFERROR(N(VLOOKUP($B13,Catalogo!$A:$J,5,FALSE)),0)</f>
        <v/>
      </c>
      <c r="G13" s="24">
        <f>IFERROR(IF(N(VLOOKUP($B13,Catalogo!$A:$J,6,FALSE))&gt;0,VLOOKUP($B13,Catalogo!$A:$J,6,FALSE),IF(F13&gt;0,F13/(1-Proyecto!$B$9),0)),0)</f>
        <v/>
      </c>
      <c r="H13" s="24">
        <f>E13*F13</f>
        <v/>
      </c>
      <c r="I13" s="24">
        <f>E13*G13</f>
        <v/>
      </c>
      <c r="J13" s="13">
        <f>IFERROR(VLOOKUP($B13,Catalogo!$A:$J,9,FALSE),"")</f>
        <v/>
      </c>
      <c r="K13" s="25">
        <f>IF(I13&gt;0,(I13-H13)/I13,"")</f>
        <v/>
      </c>
      <c r="L13" s="13" t="inlineStr">
        <is>
          <t>Puertas batientes administrativas.</t>
        </is>
      </c>
    </row>
    <row r="14">
      <c r="A14" s="13" t="inlineStr">
        <is>
          <t>2. Puertas y herrajes</t>
        </is>
      </c>
      <c r="B14" s="13" t="inlineStr">
        <is>
          <t>PTA-MAN</t>
        </is>
      </c>
      <c r="C14" s="13">
        <f>IFERROR(VLOOKUP($B14,Catalogo!$A:$J,2,FALSE),"CODIGO NO ENCONTRADO")</f>
        <v/>
      </c>
      <c r="D14" s="13">
        <f>IFERROR(VLOOKUP($B14,Catalogo!$A:$J,4,FALSE),"")</f>
        <v/>
      </c>
      <c r="E14" s="14">
        <f>Calculo_Vidrio!H26</f>
        <v/>
      </c>
      <c r="F14" s="24">
        <f>IFERROR(N(VLOOKUP($B14,Catalogo!$A:$J,5,FALSE)),0)</f>
        <v/>
      </c>
      <c r="G14" s="24">
        <f>IFERROR(IF(N(VLOOKUP($B14,Catalogo!$A:$J,6,FALSE))&gt;0,VLOOKUP($B14,Catalogo!$A:$J,6,FALSE),IF(F14&gt;0,F14/(1-Proyecto!$B$9),0)),0)</f>
        <v/>
      </c>
      <c r="H14" s="24">
        <f>E14*F14</f>
        <v/>
      </c>
      <c r="I14" s="24">
        <f>E14*G14</f>
        <v/>
      </c>
      <c r="J14" s="13">
        <f>IFERROR(VLOOKUP($B14,Catalogo!$A:$J,9,FALSE),"")</f>
        <v/>
      </c>
      <c r="K14" s="25">
        <f>IF(I14&gt;0,(I14-H14)/I14,"")</f>
        <v/>
      </c>
      <c r="L14" s="13" t="inlineStr"/>
    </row>
    <row r="15">
      <c r="A15" s="13" t="inlineStr">
        <is>
          <t>2. Puertas y herrajes</t>
        </is>
      </c>
      <c r="B15" s="13" t="inlineStr">
        <is>
          <t>PTA-TOPE</t>
        </is>
      </c>
      <c r="C15" s="13">
        <f>IFERROR(VLOOKUP($B15,Catalogo!$A:$J,2,FALSE),"CODIGO NO ENCONTRADO")</f>
        <v/>
      </c>
      <c r="D15" s="13">
        <f>IFERROR(VLOOKUP($B15,Catalogo!$A:$J,4,FALSE),"")</f>
        <v/>
      </c>
      <c r="E15" s="14">
        <f>Calculo_Vidrio!I26</f>
        <v/>
      </c>
      <c r="F15" s="24">
        <f>IFERROR(N(VLOOKUP($B15,Catalogo!$A:$J,5,FALSE)),0)</f>
        <v/>
      </c>
      <c r="G15" s="24">
        <f>IFERROR(IF(N(VLOOKUP($B15,Catalogo!$A:$J,6,FALSE))&gt;0,VLOOKUP($B15,Catalogo!$A:$J,6,FALSE),IF(F15&gt;0,F15/(1-Proyecto!$B$9),0)),0)</f>
        <v/>
      </c>
      <c r="H15" s="24">
        <f>E15*F15</f>
        <v/>
      </c>
      <c r="I15" s="24">
        <f>E15*G15</f>
        <v/>
      </c>
      <c r="J15" s="13">
        <f>IFERROR(VLOOKUP($B15,Catalogo!$A:$J,9,FALSE),"")</f>
        <v/>
      </c>
      <c r="K15" s="25">
        <f>IF(I15&gt;0,(I15-H15)/I15,"")</f>
        <v/>
      </c>
      <c r="L15" s="13" t="inlineStr">
        <is>
          <t>Puertas no llegan al cielo raso.</t>
        </is>
      </c>
    </row>
    <row r="16">
      <c r="A16" s="13" t="inlineStr">
        <is>
          <t>2. Puertas y herrajes</t>
        </is>
      </c>
      <c r="B16" s="13" t="inlineStr">
        <is>
          <t>PTA-CHAPA-PL</t>
        </is>
      </c>
      <c r="C16" s="13">
        <f>IFERROR(VLOOKUP($B16,Catalogo!$A:$J,2,FALSE),"CODIGO NO ENCONTRADO")</f>
        <v/>
      </c>
      <c r="D16" s="13">
        <f>IFERROR(VLOOKUP($B16,Catalogo!$A:$J,4,FALSE),"")</f>
        <v/>
      </c>
      <c r="E16" s="14">
        <f>Calculo_Vidrio!J26</f>
        <v/>
      </c>
      <c r="F16" s="24">
        <f>IFERROR(N(VLOOKUP($B16,Catalogo!$A:$J,5,FALSE)),0)</f>
        <v/>
      </c>
      <c r="G16" s="24">
        <f>IFERROR(IF(N(VLOOKUP($B16,Catalogo!$A:$J,6,FALSE))&gt;0,VLOOKUP($B16,Catalogo!$A:$J,6,FALSE),IF(F16&gt;0,F16/(1-Proyecto!$B$9),0)),0)</f>
        <v/>
      </c>
      <c r="H16" s="24">
        <f>E16*F16</f>
        <v/>
      </c>
      <c r="I16" s="24">
        <f>E16*G16</f>
        <v/>
      </c>
      <c r="J16" s="13">
        <f>IFERROR(VLOOKUP($B16,Catalogo!$A:$J,9,FALSE),"")</f>
        <v/>
      </c>
      <c r="K16" s="25">
        <f>IF(I16&gt;0,(I16-H16)/I16,"")</f>
        <v/>
      </c>
      <c r="L16" s="13" t="inlineStr">
        <is>
          <t>Gerencia y juntas.</t>
        </is>
      </c>
    </row>
    <row r="17">
      <c r="A17" s="13" t="inlineStr">
        <is>
          <t>2. Puertas y herrajes</t>
        </is>
      </c>
      <c r="B17" s="13" t="inlineStr">
        <is>
          <t>PTA-PAS</t>
        </is>
      </c>
      <c r="C17" s="13">
        <f>IFERROR(VLOOKUP($B17,Catalogo!$A:$J,2,FALSE),"CODIGO NO ENCONTRADO")</f>
        <v/>
      </c>
      <c r="D17" s="13">
        <f>IFERROR(VLOOKUP($B17,Catalogo!$A:$J,4,FALSE),"")</f>
        <v/>
      </c>
      <c r="E17" s="14">
        <f>Calculo_Vidrio!K26</f>
        <v/>
      </c>
      <c r="F17" s="24">
        <f>IFERROR(N(VLOOKUP($B17,Catalogo!$A:$J,5,FALSE)),0)</f>
        <v/>
      </c>
      <c r="G17" s="24">
        <f>IFERROR(IF(N(VLOOKUP($B17,Catalogo!$A:$J,6,FALSE))&gt;0,VLOOKUP($B17,Catalogo!$A:$J,6,FALSE),IF(F17&gt;0,F17/(1-Proyecto!$B$9),0)),0)</f>
        <v/>
      </c>
      <c r="H17" s="24">
        <f>E17*F17</f>
        <v/>
      </c>
      <c r="I17" s="24">
        <f>E17*G17</f>
        <v/>
      </c>
      <c r="J17" s="13">
        <f>IFERROR(VLOOKUP($B17,Catalogo!$A:$J,9,FALSE),"")</f>
        <v/>
      </c>
      <c r="K17" s="25">
        <f>IF(I17&gt;0,(I17-H17)/I17,"")</f>
        <v/>
      </c>
      <c r="L17" s="13" t="inlineStr">
        <is>
          <t>Administrativas.</t>
        </is>
      </c>
    </row>
    <row r="18">
      <c r="A18" s="22" t="inlineStr">
        <is>
          <t>3. Mobiliario en madera y accesorios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A19" s="13" t="inlineStr">
        <is>
          <t>3. Mobiliario en madera y accesorios</t>
        </is>
      </c>
      <c r="B19" s="13" t="inlineStr">
        <is>
          <t>TAB-15-215x244</t>
        </is>
      </c>
      <c r="C19" s="13">
        <f>IFERROR(VLOOKUP($B19,Catalogo!$A:$J,2,FALSE),"CODIGO NO ENCONTRADO")</f>
        <v/>
      </c>
      <c r="D19" s="13">
        <f>IFERROR(VLOOKUP($B19,Catalogo!$A:$J,4,FALSE),"")</f>
        <v/>
      </c>
      <c r="E19" s="14">
        <f>Cortes_Tablero!B22</f>
        <v/>
      </c>
      <c r="F19" s="24">
        <f>IFERROR(N(VLOOKUP($B19,Catalogo!$A:$J,5,FALSE)),0)</f>
        <v/>
      </c>
      <c r="G19" s="24">
        <f>IFERROR(IF(N(VLOOKUP($B19,Catalogo!$A:$J,6,FALSE))&gt;0,VLOOKUP($B19,Catalogo!$A:$J,6,FALSE),IF(F19&gt;0,F19/(1-Proyecto!$B$9),0)),0)</f>
        <v/>
      </c>
      <c r="H19" s="24">
        <f>E19*F19</f>
        <v/>
      </c>
      <c r="I19" s="24">
        <f>E19*G19</f>
        <v/>
      </c>
      <c r="J19" s="13">
        <f>IFERROR(VLOOKUP($B19,Catalogo!$A:$J,9,FALSE),"")</f>
        <v/>
      </c>
      <c r="K19" s="25">
        <f>IF(I19&gt;0,(I19-H19)/I19,"")</f>
        <v/>
      </c>
      <c r="L19" s="13" t="inlineStr">
        <is>
          <t>Segun optimizacion de corte (2 capas por tapa).</t>
        </is>
      </c>
    </row>
    <row r="20">
      <c r="A20" s="13" t="inlineStr">
        <is>
          <t>3. Mobiliario en madera y accesorios</t>
        </is>
      </c>
      <c r="B20" s="13" t="inlineStr">
        <is>
          <t>CANTO-3CM</t>
        </is>
      </c>
      <c r="C20" s="13">
        <f>IFERROR(VLOOKUP($B20,Catalogo!$A:$J,2,FALSE),"CODIGO NO ENCONTRADO")</f>
        <v/>
      </c>
      <c r="D20" s="13">
        <f>IFERROR(VLOOKUP($B20,Catalogo!$A:$J,4,FALSE),"")</f>
        <v/>
      </c>
      <c r="E20" s="14">
        <f>Cortes_Tablero!D19</f>
        <v/>
      </c>
      <c r="F20" s="24">
        <f>IFERROR(N(VLOOKUP($B20,Catalogo!$A:$J,5,FALSE)),0)</f>
        <v/>
      </c>
      <c r="G20" s="24">
        <f>IFERROR(IF(N(VLOOKUP($B20,Catalogo!$A:$J,6,FALSE))&gt;0,VLOOKUP($B20,Catalogo!$A:$J,6,FALSE),IF(F20&gt;0,F20/(1-Proyecto!$B$9),0)),0)</f>
        <v/>
      </c>
      <c r="H20" s="24">
        <f>E20*F20</f>
        <v/>
      </c>
      <c r="I20" s="24">
        <f>E20*G20</f>
        <v/>
      </c>
      <c r="J20" s="13">
        <f>IFERROR(VLOOKUP($B20,Catalogo!$A:$J,9,FALSE),"")</f>
        <v/>
      </c>
      <c r="K20" s="25">
        <f>IF(I20&gt;0,(I20-H20)/I20,"")</f>
        <v/>
      </c>
      <c r="L20" s="13" t="inlineStr">
        <is>
          <t>Todos los bordes de cada tapa.</t>
        </is>
      </c>
    </row>
    <row r="21">
      <c r="A21" s="13" t="inlineStr">
        <is>
          <t>3. Mobiliario en madera y accesorios</t>
        </is>
      </c>
      <c r="B21" s="13" t="inlineStr">
        <is>
          <t>BOQ-GRM</t>
        </is>
      </c>
      <c r="C21" s="13">
        <f>IFERROR(VLOOKUP($B21,Catalogo!$A:$J,2,FALSE),"CODIGO NO ENCONTRADO")</f>
        <v/>
      </c>
      <c r="D21" s="13">
        <f>IFERROR(VLOOKUP($B21,Catalogo!$A:$J,4,FALSE),"")</f>
        <v/>
      </c>
      <c r="E21" s="14" t="n">
        <v>1</v>
      </c>
      <c r="F21" s="24">
        <f>IFERROR(N(VLOOKUP($B21,Catalogo!$A:$J,5,FALSE)),0)</f>
        <v/>
      </c>
      <c r="G21" s="24">
        <f>IFERROR(IF(N(VLOOKUP($B21,Catalogo!$A:$J,6,FALSE))&gt;0,VLOOKUP($B21,Catalogo!$A:$J,6,FALSE),IF(F21&gt;0,F21/(1-Proyecto!$B$9),0)),0)</f>
        <v/>
      </c>
      <c r="H21" s="24">
        <f>E21*F21</f>
        <v/>
      </c>
      <c r="I21" s="24">
        <f>E21*G21</f>
        <v/>
      </c>
      <c r="J21" s="13">
        <f>IFERROR(VLOOKUP($B21,Catalogo!$A:$J,9,FALSE),"")</f>
        <v/>
      </c>
      <c r="K21" s="25">
        <f>IF(I21&gt;0,(I21-H21)/I21,"")</f>
        <v/>
      </c>
      <c r="L21" s="13" t="inlineStr">
        <is>
          <t>Mesa de juntas.</t>
        </is>
      </c>
    </row>
    <row r="22">
      <c r="A22" s="13" t="inlineStr">
        <is>
          <t>3. Mobiliario en madera y accesorios</t>
        </is>
      </c>
      <c r="B22" s="13" t="inlineStr">
        <is>
          <t>VID-TEM-10</t>
        </is>
      </c>
      <c r="C22" s="13">
        <f>IFERROR(VLOOKUP($B22,Catalogo!$A:$J,2,FALSE),"CODIGO NO ENCONTRADO")</f>
        <v/>
      </c>
      <c r="D22" s="13">
        <f>IFERROR(VLOOKUP($B22,Catalogo!$A:$J,4,FALSE),"")</f>
        <v/>
      </c>
      <c r="E22" s="14" t="n">
        <v>2.21</v>
      </c>
      <c r="F22" s="24">
        <f>IFERROR(N(VLOOKUP($B22,Catalogo!$A:$J,5,FALSE)),0)</f>
        <v/>
      </c>
      <c r="G22" s="24">
        <f>IFERROR(IF(N(VLOOKUP($B22,Catalogo!$A:$J,6,FALSE))&gt;0,VLOOKUP($B22,Catalogo!$A:$J,6,FALSE),IF(F22&gt;0,F22/(1-Proyecto!$B$9),0)),0)</f>
        <v/>
      </c>
      <c r="H22" s="24">
        <f>E22*F22</f>
        <v/>
      </c>
      <c r="I22" s="24">
        <f>E22*G22</f>
        <v/>
      </c>
      <c r="J22" s="13">
        <f>IFERROR(VLOOKUP($B22,Catalogo!$A:$J,9,FALSE),"")</f>
        <v/>
      </c>
      <c r="K22" s="25">
        <f>IF(I22&gt;0,(I22-H22)/I22,"")</f>
        <v/>
      </c>
      <c r="L22" s="13" t="inlineStr">
        <is>
          <t>Pantallas de vidrio 35 cm de la isla (4 laterales + 3 centrales).</t>
        </is>
      </c>
    </row>
    <row r="23">
      <c r="A23" s="13" t="inlineStr">
        <is>
          <t>3. Mobiliario en madera y accesorios</t>
        </is>
      </c>
      <c r="B23" s="13" t="inlineStr">
        <is>
          <t>ARCH-2X1</t>
        </is>
      </c>
      <c r="C23" s="13">
        <f>IFERROR(VLOOKUP($B23,Catalogo!$A:$J,2,FALSE),"CODIGO NO ENCONTRADO")</f>
        <v/>
      </c>
      <c r="D23" s="13">
        <f>IFERROR(VLOOKUP($B23,Catalogo!$A:$J,4,FALSE),"")</f>
        <v/>
      </c>
      <c r="E23" s="14" t="n">
        <v>5</v>
      </c>
      <c r="F23" s="24">
        <f>IFERROR(N(VLOOKUP($B23,Catalogo!$A:$J,5,FALSE)),0)</f>
        <v/>
      </c>
      <c r="G23" s="24">
        <f>IFERROR(IF(N(VLOOKUP($B23,Catalogo!$A:$J,6,FALSE))&gt;0,VLOOKUP($B23,Catalogo!$A:$J,6,FALSE),IF(F23&gt;0,F23/(1-Proyecto!$B$9),0)),0)</f>
        <v/>
      </c>
      <c r="H23" s="24">
        <f>E23*F23</f>
        <v/>
      </c>
      <c r="I23" s="24">
        <f>E23*G23</f>
        <v/>
      </c>
      <c r="J23" s="13">
        <f>IFERROR(VLOOKUP($B23,Catalogo!$A:$J,9,FALSE),"")</f>
        <v/>
      </c>
      <c r="K23" s="25">
        <f>IF(I23&gt;0,(I23-H23)/I23,"")</f>
        <v/>
      </c>
      <c r="L23" s="13" t="inlineStr">
        <is>
          <t>2 admin + 1 gerencia + 2 isla (supuesto).</t>
        </is>
      </c>
    </row>
    <row r="24">
      <c r="A24" s="22" t="inlineStr">
        <is>
          <t>4. Estructuras metalicas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>
      <c r="A25" s="13" t="inlineStr">
        <is>
          <t>4. Estructuras metalicas</t>
        </is>
      </c>
      <c r="B25" s="13" t="inlineStr">
        <is>
          <t>TUB-2X2-C18</t>
        </is>
      </c>
      <c r="C25" s="13">
        <f>IFERROR(VLOOKUP($B25,Catalogo!$A:$J,2,FALSE),"CODIGO NO ENCONTRADO")</f>
        <v/>
      </c>
      <c r="D25" s="13">
        <f>IFERROR(VLOOKUP($B25,Catalogo!$A:$J,4,FALSE),"")</f>
        <v/>
      </c>
      <c r="E25" s="14">
        <f>Cortes_Tubo!$B$16</f>
        <v/>
      </c>
      <c r="F25" s="24">
        <f>IFERROR(N(VLOOKUP($B25,Catalogo!$A:$J,5,FALSE)),0)</f>
        <v/>
      </c>
      <c r="G25" s="24">
        <f>IFERROR(IF(N(VLOOKUP($B25,Catalogo!$A:$J,6,FALSE))&gt;0,VLOOKUP($B25,Catalogo!$A:$J,6,FALSE),IF(F25&gt;0,F25/(1-Proyecto!$B$9),0)),0)</f>
        <v/>
      </c>
      <c r="H25" s="24">
        <f>E25*F25</f>
        <v/>
      </c>
      <c r="I25" s="24">
        <f>E25*G25</f>
        <v/>
      </c>
      <c r="J25" s="13">
        <f>IFERROR(VLOOKUP($B25,Catalogo!$A:$J,9,FALSE),"")</f>
        <v/>
      </c>
      <c r="K25" s="25">
        <f>IF(I25&gt;0,(I25-H25)/I25,"")</f>
        <v/>
      </c>
      <c r="L25" s="13" t="inlineStr">
        <is>
          <t>Barras de 6 m segun optimizacion.</t>
        </is>
      </c>
    </row>
    <row r="26">
      <c r="A26" s="13" t="inlineStr">
        <is>
          <t>4. Estructuras metalicas</t>
        </is>
      </c>
      <c r="B26" s="13" t="inlineStr">
        <is>
          <t>PINT-ELEC</t>
        </is>
      </c>
      <c r="C26" s="13">
        <f>IFERROR(VLOOKUP($B26,Catalogo!$A:$J,2,FALSE),"CODIGO NO ENCONTRADO")</f>
        <v/>
      </c>
      <c r="D26" s="13">
        <f>IFERROR(VLOOKUP($B26,Catalogo!$A:$J,4,FALSE),"")</f>
        <v/>
      </c>
      <c r="E26" s="14">
        <f>55.12*0.2032</f>
        <v/>
      </c>
      <c r="F26" s="24">
        <f>IFERROR(N(VLOOKUP($B26,Catalogo!$A:$J,5,FALSE)),0)</f>
        <v/>
      </c>
      <c r="G26" s="24">
        <f>IFERROR(IF(N(VLOOKUP($B26,Catalogo!$A:$J,6,FALSE))&gt;0,VLOOKUP($B26,Catalogo!$A:$J,6,FALSE),IF(F26&gt;0,F26/(1-Proyecto!$B$9),0)),0)</f>
        <v/>
      </c>
      <c r="H26" s="24">
        <f>E26*F26</f>
        <v/>
      </c>
      <c r="I26" s="24">
        <f>E26*G26</f>
        <v/>
      </c>
      <c r="J26" s="13">
        <f>IFERROR(VLOOKUP($B26,Catalogo!$A:$J,9,FALSE),"")</f>
        <v/>
      </c>
      <c r="K26" s="25">
        <f>IF(I26&gt;0,(I26-H26)/I26,"")</f>
        <v/>
      </c>
      <c r="L26" s="13" t="inlineStr">
        <is>
          <t>Area aprox. (perimetro del tubo 0.2032 m).</t>
        </is>
      </c>
    </row>
    <row r="27">
      <c r="A27" s="13" t="inlineStr">
        <is>
          <t>4. Estructuras metalicas</t>
        </is>
      </c>
      <c r="B27" s="13" t="inlineStr">
        <is>
          <t>CAN-ELEC-ISLA</t>
        </is>
      </c>
      <c r="C27" s="13">
        <f>IFERROR(VLOOKUP($B27,Catalogo!$A:$J,2,FALSE),"CODIGO NO ENCONTRADO")</f>
        <v/>
      </c>
      <c r="D27" s="13">
        <f>IFERROR(VLOOKUP($B27,Catalogo!$A:$J,4,FALSE),"")</f>
        <v/>
      </c>
      <c r="E27" s="14" t="n">
        <v>1</v>
      </c>
      <c r="F27" s="24">
        <f>IFERROR(N(VLOOKUP($B27,Catalogo!$A:$J,5,FALSE)),0)</f>
        <v/>
      </c>
      <c r="G27" s="24">
        <f>IFERROR(IF(N(VLOOKUP($B27,Catalogo!$A:$J,6,FALSE))&gt;0,VLOOKUP($B27,Catalogo!$A:$J,6,FALSE),IF(F27&gt;0,F27/(1-Proyecto!$B$9),0)),0)</f>
        <v/>
      </c>
      <c r="H27" s="24">
        <f>E27*F27</f>
        <v/>
      </c>
      <c r="I27" s="24">
        <f>E27*G27</f>
        <v/>
      </c>
      <c r="J27" s="13">
        <f>IFERROR(VLOOKUP($B27,Catalogo!$A:$J,9,FALSE),"")</f>
        <v/>
      </c>
      <c r="K27" s="25">
        <f>IF(I27&gt;0,(I27-H27)/I27,"")</f>
        <v/>
      </c>
      <c r="L27" s="13" t="inlineStr">
        <is>
          <t>Canaletas y cableado estructurado de la isla.</t>
        </is>
      </c>
    </row>
    <row r="28">
      <c r="A28" s="22" t="inlineStr">
        <is>
          <t>5. Sillas y complementos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>
      <c r="A29" s="13" t="inlineStr">
        <is>
          <t>5. Sillas y complementos</t>
        </is>
      </c>
      <c r="B29" s="13" t="inlineStr">
        <is>
          <t>SIL-GER</t>
        </is>
      </c>
      <c r="C29" s="13">
        <f>IFERROR(VLOOKUP($B29,Catalogo!$A:$J,2,FALSE),"CODIGO NO ENCONTRADO")</f>
        <v/>
      </c>
      <c r="D29" s="13">
        <f>IFERROR(VLOOKUP($B29,Catalogo!$A:$J,4,FALSE),"")</f>
        <v/>
      </c>
      <c r="E29" s="14" t="n">
        <v>1</v>
      </c>
      <c r="F29" s="24">
        <f>IFERROR(N(VLOOKUP($B29,Catalogo!$A:$J,5,FALSE)),0)</f>
        <v/>
      </c>
      <c r="G29" s="24">
        <f>IFERROR(IF(N(VLOOKUP($B29,Catalogo!$A:$J,6,FALSE))&gt;0,VLOOKUP($B29,Catalogo!$A:$J,6,FALSE),IF(F29&gt;0,F29/(1-Proyecto!$B$9),0)),0)</f>
        <v/>
      </c>
      <c r="H29" s="24">
        <f>E29*F29</f>
        <v/>
      </c>
      <c r="I29" s="24">
        <f>E29*G29</f>
        <v/>
      </c>
      <c r="J29" s="13">
        <f>IFERROR(VLOOKUP($B29,Catalogo!$A:$J,9,FALSE),"")</f>
        <v/>
      </c>
      <c r="K29" s="25">
        <f>IF(I29&gt;0,(I29-H29)/I29,"")</f>
        <v/>
      </c>
      <c r="L29" s="13" t="inlineStr"/>
    </row>
    <row r="30">
      <c r="A30" s="13" t="inlineStr">
        <is>
          <t>5. Sillas y complementos</t>
        </is>
      </c>
      <c r="B30" s="13" t="inlineStr">
        <is>
          <t>SIL-ADM</t>
        </is>
      </c>
      <c r="C30" s="13">
        <f>IFERROR(VLOOKUP($B30,Catalogo!$A:$J,2,FALSE),"CODIGO NO ENCONTRADO")</f>
        <v/>
      </c>
      <c r="D30" s="13">
        <f>IFERROR(VLOOKUP($B30,Catalogo!$A:$J,4,FALSE),"")</f>
        <v/>
      </c>
      <c r="E30" s="14" t="n">
        <v>2</v>
      </c>
      <c r="F30" s="24">
        <f>IFERROR(N(VLOOKUP($B30,Catalogo!$A:$J,5,FALSE)),0)</f>
        <v/>
      </c>
      <c r="G30" s="24">
        <f>IFERROR(IF(N(VLOOKUP($B30,Catalogo!$A:$J,6,FALSE))&gt;0,VLOOKUP($B30,Catalogo!$A:$J,6,FALSE),IF(F30&gt;0,F30/(1-Proyecto!$B$9),0)),0)</f>
        <v/>
      </c>
      <c r="H30" s="24">
        <f>E30*F30</f>
        <v/>
      </c>
      <c r="I30" s="24">
        <f>E30*G30</f>
        <v/>
      </c>
      <c r="J30" s="13">
        <f>IFERROR(VLOOKUP($B30,Catalogo!$A:$J,9,FALSE),"")</f>
        <v/>
      </c>
      <c r="K30" s="25">
        <f>IF(I30&gt;0,(I30-H30)/I30,"")</f>
        <v/>
      </c>
      <c r="L30" s="13" t="inlineStr">
        <is>
          <t>Ejecutiva de cada oficina administrativa.</t>
        </is>
      </c>
    </row>
    <row r="31">
      <c r="A31" s="13" t="inlineStr">
        <is>
          <t>5. Sillas y complementos</t>
        </is>
      </c>
      <c r="B31" s="13" t="inlineStr">
        <is>
          <t>SIL-INT</t>
        </is>
      </c>
      <c r="C31" s="13">
        <f>IFERROR(VLOOKUP($B31,Catalogo!$A:$J,2,FALSE),"CODIGO NO ENCONTRADO")</f>
        <v/>
      </c>
      <c r="D31" s="13">
        <f>IFERROR(VLOOKUP($B31,Catalogo!$A:$J,4,FALSE),"")</f>
        <v/>
      </c>
      <c r="E31" s="14" t="n">
        <v>6</v>
      </c>
      <c r="F31" s="24">
        <f>IFERROR(N(VLOOKUP($B31,Catalogo!$A:$J,5,FALSE)),0)</f>
        <v/>
      </c>
      <c r="G31" s="24">
        <f>IFERROR(IF(N(VLOOKUP($B31,Catalogo!$A:$J,6,FALSE))&gt;0,VLOOKUP($B31,Catalogo!$A:$J,6,FALSE),IF(F31&gt;0,F31/(1-Proyecto!$B$9),0)),0)</f>
        <v/>
      </c>
      <c r="H31" s="24">
        <f>E31*F31</f>
        <v/>
      </c>
      <c r="I31" s="24">
        <f>E31*G31</f>
        <v/>
      </c>
      <c r="J31" s="13">
        <f>IFERROR(VLOOKUP($B31,Catalogo!$A:$J,9,FALSE),"")</f>
        <v/>
      </c>
      <c r="K31" s="25">
        <f>IF(I31&gt;0,(I31-H31)/I31,"")</f>
        <v/>
      </c>
      <c r="L31" s="13" t="inlineStr">
        <is>
          <t>2 por oficina admin + 2 gerencia. Precio pendiente.</t>
        </is>
      </c>
    </row>
    <row r="32">
      <c r="A32" s="13" t="inlineStr">
        <is>
          <t>5. Sillas y complementos</t>
        </is>
      </c>
      <c r="B32" s="13" t="inlineStr">
        <is>
          <t>SIL-JUN</t>
        </is>
      </c>
      <c r="C32" s="13">
        <f>IFERROR(VLOOKUP($B32,Catalogo!$A:$J,2,FALSE),"CODIGO NO ENCONTRADO")</f>
        <v/>
      </c>
      <c r="D32" s="13">
        <f>IFERROR(VLOOKUP($B32,Catalogo!$A:$J,4,FALSE),"")</f>
        <v/>
      </c>
      <c r="E32" s="14" t="n">
        <v>6</v>
      </c>
      <c r="F32" s="24">
        <f>IFERROR(N(VLOOKUP($B32,Catalogo!$A:$J,5,FALSE)),0)</f>
        <v/>
      </c>
      <c r="G32" s="24">
        <f>IFERROR(IF(N(VLOOKUP($B32,Catalogo!$A:$J,6,FALSE))&gt;0,VLOOKUP($B32,Catalogo!$A:$J,6,FALSE),IF(F32&gt;0,F32/(1-Proyecto!$B$9),0)),0)</f>
        <v/>
      </c>
      <c r="H32" s="24">
        <f>E32*F32</f>
        <v/>
      </c>
      <c r="I32" s="24">
        <f>E32*G32</f>
        <v/>
      </c>
      <c r="J32" s="13">
        <f>IFERROR(VLOOKUP($B32,Catalogo!$A:$J,9,FALSE),"")</f>
        <v/>
      </c>
      <c r="K32" s="25">
        <f>IF(I32&gt;0,(I32-H32)/I32,"")</f>
        <v/>
      </c>
      <c r="L32" s="13" t="inlineStr"/>
    </row>
    <row r="33">
      <c r="A33" s="13" t="inlineStr">
        <is>
          <t>5. Sillas y complementos</t>
        </is>
      </c>
      <c r="B33" s="13" t="inlineStr">
        <is>
          <t>SIL-ISL</t>
        </is>
      </c>
      <c r="C33" s="13">
        <f>IFERROR(VLOOKUP($B33,Catalogo!$A:$J,2,FALSE),"CODIGO NO ENCONTRADO")</f>
        <v/>
      </c>
      <c r="D33" s="13">
        <f>IFERROR(VLOOKUP($B33,Catalogo!$A:$J,4,FALSE),"")</f>
        <v/>
      </c>
      <c r="E33" s="14" t="n">
        <v>6</v>
      </c>
      <c r="F33" s="24">
        <f>IFERROR(N(VLOOKUP($B33,Catalogo!$A:$J,5,FALSE)),0)</f>
        <v/>
      </c>
      <c r="G33" s="24">
        <f>IFERROR(IF(N(VLOOKUP($B33,Catalogo!$A:$J,6,FALSE))&gt;0,VLOOKUP($B33,Catalogo!$A:$J,6,FALSE),IF(F33&gt;0,F33/(1-Proyecto!$B$9),0)),0)</f>
        <v/>
      </c>
      <c r="H33" s="24">
        <f>E33*F33</f>
        <v/>
      </c>
      <c r="I33" s="24">
        <f>E33*G33</f>
        <v/>
      </c>
      <c r="J33" s="13">
        <f>IFERROR(VLOOKUP($B33,Catalogo!$A:$J,9,FALSE),"")</f>
        <v/>
      </c>
      <c r="K33" s="25">
        <f>IF(I33&gt;0,(I33-H33)/I33,"")</f>
        <v/>
      </c>
      <c r="L33" s="13" t="inlineStr"/>
    </row>
    <row r="34">
      <c r="A34" s="13" t="inlineStr">
        <is>
          <t>5. Sillas y complementos</t>
        </is>
      </c>
      <c r="B34" s="13" t="inlineStr">
        <is>
          <t>SOFA-2P</t>
        </is>
      </c>
      <c r="C34" s="13">
        <f>IFERROR(VLOOKUP($B34,Catalogo!$A:$J,2,FALSE),"CODIGO NO ENCONTRADO")</f>
        <v/>
      </c>
      <c r="D34" s="13">
        <f>IFERROR(VLOOKUP($B34,Catalogo!$A:$J,4,FALSE),"")</f>
        <v/>
      </c>
      <c r="E34" s="14" t="n">
        <v>1</v>
      </c>
      <c r="F34" s="24">
        <f>IFERROR(N(VLOOKUP($B34,Catalogo!$A:$J,5,FALSE)),0)</f>
        <v/>
      </c>
      <c r="G34" s="24">
        <f>IFERROR(IF(N(VLOOKUP($B34,Catalogo!$A:$J,6,FALSE))&gt;0,VLOOKUP($B34,Catalogo!$A:$J,6,FALSE),IF(F34&gt;0,F34/(1-Proyecto!$B$9),0)),0)</f>
        <v/>
      </c>
      <c r="H34" s="24">
        <f>E34*F34</f>
        <v/>
      </c>
      <c r="I34" s="24">
        <f>E34*G34</f>
        <v/>
      </c>
      <c r="J34" s="13">
        <f>IFERROR(VLOOKUP($B34,Catalogo!$A:$J,9,FALSE),"")</f>
        <v/>
      </c>
      <c r="K34" s="25">
        <f>IF(I34&gt;0,(I34-H34)/I34,"")</f>
        <v/>
      </c>
      <c r="L34" s="13" t="inlineStr">
        <is>
          <t>Gerencia.</t>
        </is>
      </c>
    </row>
    <row r="35">
      <c r="A35" s="13" t="inlineStr">
        <is>
          <t>5. Sillas y complementos</t>
        </is>
      </c>
      <c r="B35" s="13" t="inlineStr">
        <is>
          <t>MESA-PEQ</t>
        </is>
      </c>
      <c r="C35" s="13">
        <f>IFERROR(VLOOKUP($B35,Catalogo!$A:$J,2,FALSE),"CODIGO NO ENCONTRADO")</f>
        <v/>
      </c>
      <c r="D35" s="13">
        <f>IFERROR(VLOOKUP($B35,Catalogo!$A:$J,4,FALSE),"")</f>
        <v/>
      </c>
      <c r="E35" s="14" t="n">
        <v>1</v>
      </c>
      <c r="F35" s="24">
        <f>IFERROR(N(VLOOKUP($B35,Catalogo!$A:$J,5,FALSE)),0)</f>
        <v/>
      </c>
      <c r="G35" s="24">
        <f>IFERROR(IF(N(VLOOKUP($B35,Catalogo!$A:$J,6,FALSE))&gt;0,VLOOKUP($B35,Catalogo!$A:$J,6,FALSE),IF(F35&gt;0,F35/(1-Proyecto!$B$9),0)),0)</f>
        <v/>
      </c>
      <c r="H35" s="24">
        <f>E35*F35</f>
        <v/>
      </c>
      <c r="I35" s="24">
        <f>E35*G35</f>
        <v/>
      </c>
      <c r="J35" s="13">
        <f>IFERROR(VLOOKUP($B35,Catalogo!$A:$J,9,FALSE),"")</f>
        <v/>
      </c>
      <c r="K35" s="25">
        <f>IF(I35&gt;0,(I35-H35)/I35,"")</f>
        <v/>
      </c>
      <c r="L35" s="13" t="inlineStr">
        <is>
          <t>Gerencia.</t>
        </is>
      </c>
    </row>
  </sheetData>
  <conditionalFormatting sqref="A2:L35">
    <cfRule type="expression" priority="1" dxfId="0">
      <formula>$J2="Pendiente"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8" customWidth="1" min="3" max="3"/>
    <col width="10" customWidth="1" min="4" max="4"/>
    <col width="14" customWidth="1" min="5" max="5"/>
    <col width="16" customWidth="1" min="6" max="6"/>
    <col width="18" customWidth="1" min="7" max="7"/>
    <col width="12" customWidth="1" min="8" max="8"/>
    <col width="14" customWidth="1" min="9" max="9"/>
    <col width="52" customWidth="1" min="10" max="10"/>
  </cols>
  <sheetData>
    <row r="1">
      <c r="A1" s="3" t="inlineStr">
        <is>
          <t>Codigo (ref. interna Odoo)</t>
        </is>
      </c>
      <c r="B1" s="3" t="inlineStr">
        <is>
          <t>Nombre</t>
        </is>
      </c>
      <c r="C1" s="3" t="inlineStr">
        <is>
          <t>Categoria</t>
        </is>
      </c>
      <c r="D1" s="3" t="inlineStr">
        <is>
          <t>UdM</t>
        </is>
      </c>
      <c r="E1" s="3" t="inlineStr">
        <is>
          <t>Costo</t>
        </is>
      </c>
      <c r="F1" s="3" t="inlineStr">
        <is>
          <t>Precio venta (si ya definido)</t>
        </is>
      </c>
      <c r="G1" s="3" t="inlineStr">
        <is>
          <t>Proveedor</t>
        </is>
      </c>
      <c r="H1" s="3" t="inlineStr">
        <is>
          <t>Fecha precio</t>
        </is>
      </c>
      <c r="I1" s="3" t="inlineStr">
        <is>
          <t>Estado precio</t>
        </is>
      </c>
      <c r="J1" s="3" t="inlineStr">
        <is>
          <t>Notas</t>
        </is>
      </c>
    </row>
    <row r="2">
      <c r="A2" s="13" t="inlineStr">
        <is>
          <t>VID-SER-10</t>
        </is>
      </c>
      <c r="B2" s="13" t="inlineStr">
        <is>
          <t>Vidrio templado 10 mm con serigrafia/pelicula (incluye vidrio)</t>
        </is>
      </c>
      <c r="C2" s="13" t="inlineStr">
        <is>
          <t>Vidrio</t>
        </is>
      </c>
      <c r="D2" s="13" t="inlineStr">
        <is>
          <t>m2</t>
        </is>
      </c>
      <c r="E2" s="24" t="n">
        <v>345000</v>
      </c>
      <c r="F2" s="24" t="n"/>
      <c r="G2" s="13" t="inlineStr"/>
      <c r="H2" s="13" t="inlineStr"/>
      <c r="I2" s="13" t="inlineStr">
        <is>
          <t>Referencia</t>
        </is>
      </c>
      <c r="J2" s="13" t="inlineStr">
        <is>
          <t>Dato del cliente: 'puede tener un costo de $345.000'. Confirmar.</t>
        </is>
      </c>
    </row>
    <row r="3">
      <c r="A3" s="13" t="inlineStr">
        <is>
          <t>VID-TEM-10</t>
        </is>
      </c>
      <c r="B3" s="13" t="inlineStr">
        <is>
          <t>Vidrio templado 10 mm transparente</t>
        </is>
      </c>
      <c r="C3" s="13" t="inlineStr">
        <is>
          <t>Vidrio</t>
        </is>
      </c>
      <c r="D3" s="13" t="inlineStr">
        <is>
          <t>m2</t>
        </is>
      </c>
      <c r="E3" s="24" t="n">
        <v>150000</v>
      </c>
      <c r="F3" s="24" t="n"/>
      <c r="G3" s="13" t="inlineStr"/>
      <c r="H3" s="13" t="inlineStr"/>
      <c r="I3" s="13" t="inlineStr">
        <is>
          <t>Confirmado</t>
        </is>
      </c>
      <c r="J3" s="13" t="inlineStr">
        <is>
          <t>Costo del cliente; sin boquetes, orificios ni herrajes.</t>
        </is>
      </c>
    </row>
    <row r="4">
      <c r="A4" s="13" t="inlineStr">
        <is>
          <t>MO-VID-INST</t>
        </is>
      </c>
      <c r="B4" s="13" t="inlineStr">
        <is>
          <t>Instalacion de vidrio (subcontratista)</t>
        </is>
      </c>
      <c r="C4" s="13" t="inlineStr">
        <is>
          <t>Mano de obra</t>
        </is>
      </c>
      <c r="D4" s="13" t="inlineStr">
        <is>
          <t>m2</t>
        </is>
      </c>
      <c r="E4" s="24" t="n">
        <v>80000</v>
      </c>
      <c r="F4" s="24" t="n"/>
      <c r="G4" s="13" t="inlineStr">
        <is>
          <t>Subcontratista</t>
        </is>
      </c>
      <c r="H4" s="13" t="inlineStr"/>
      <c r="I4" s="13" t="inlineStr">
        <is>
          <t>Confirmado</t>
        </is>
      </c>
      <c r="J4" s="13" t="inlineStr">
        <is>
          <t>Dato del cliente. Transporte y andamio no aplican.</t>
        </is>
      </c>
    </row>
    <row r="5">
      <c r="A5" s="13" t="inlineStr">
        <is>
          <t>BOQ-VID</t>
        </is>
      </c>
      <c r="B5" s="13" t="inlineStr">
        <is>
          <t>Boquete en vidrio</t>
        </is>
      </c>
      <c r="C5" s="13" t="inlineStr">
        <is>
          <t>Vidrio</t>
        </is>
      </c>
      <c r="D5" s="13" t="inlineStr">
        <is>
          <t>und</t>
        </is>
      </c>
      <c r="E5" s="24" t="n">
        <v>15000</v>
      </c>
      <c r="F5" s="24" t="n"/>
      <c r="G5" s="13" t="inlineStr"/>
      <c r="H5" s="13" t="inlineStr"/>
      <c r="I5" s="13" t="inlineStr">
        <is>
          <t>Referencia</t>
        </is>
      </c>
      <c r="J5" s="13" t="inlineStr">
        <is>
          <t>Aprox. segun cliente.</t>
        </is>
      </c>
    </row>
    <row r="6">
      <c r="A6" s="13" t="inlineStr">
        <is>
          <t>ORI-VID</t>
        </is>
      </c>
      <c r="B6" s="13" t="inlineStr">
        <is>
          <t>Orificio en vidrio</t>
        </is>
      </c>
      <c r="C6" s="13" t="inlineStr">
        <is>
          <t>Vidrio</t>
        </is>
      </c>
      <c r="D6" s="13" t="inlineStr">
        <is>
          <t>und</t>
        </is>
      </c>
      <c r="E6" s="24" t="n">
        <v>4000</v>
      </c>
      <c r="F6" s="24" t="n"/>
      <c r="G6" s="13" t="inlineStr"/>
      <c r="H6" s="13" t="inlineStr"/>
      <c r="I6" s="13" t="inlineStr">
        <is>
          <t>Confirmado</t>
        </is>
      </c>
      <c r="J6" s="13" t="inlineStr"/>
    </row>
    <row r="7">
      <c r="A7" s="13" t="inlineStr">
        <is>
          <t>BOQ-GRM</t>
        </is>
      </c>
      <c r="B7" s="13" t="inlineStr">
        <is>
          <t>Boquete para groom (mesa de juntas)</t>
        </is>
      </c>
      <c r="C7" s="13" t="inlineStr">
        <is>
          <t>Mobiliario</t>
        </is>
      </c>
      <c r="D7" s="13" t="inlineStr">
        <is>
          <t>und</t>
        </is>
      </c>
      <c r="E7" s="24" t="n">
        <v>15000</v>
      </c>
      <c r="F7" s="24" t="n"/>
      <c r="G7" s="13" t="inlineStr"/>
      <c r="H7" s="13" t="inlineStr"/>
      <c r="I7" s="13" t="inlineStr">
        <is>
          <t>Referencia</t>
        </is>
      </c>
      <c r="J7" s="13" t="inlineStr">
        <is>
          <t>Se usa el precio de boquete como referencia.</t>
        </is>
      </c>
    </row>
    <row r="8">
      <c r="A8" s="13" t="inlineStr">
        <is>
          <t>PER-L1-AL</t>
        </is>
      </c>
      <c r="B8" s="13" t="inlineStr">
        <is>
          <t>Perfil angulo L 1x1" aluminio mate</t>
        </is>
      </c>
      <c r="C8" s="13" t="inlineStr">
        <is>
          <t>Perfileria</t>
        </is>
      </c>
      <c r="D8" s="13" t="inlineStr">
        <is>
          <t>ml</t>
        </is>
      </c>
      <c r="E8" s="24" t="n"/>
      <c r="F8" s="24" t="n"/>
      <c r="G8" s="13" t="inlineStr"/>
      <c r="H8" s="13" t="inlineStr"/>
      <c r="I8" s="13" t="inlineStr">
        <is>
          <t>Pendiente</t>
        </is>
      </c>
      <c r="J8" s="13" t="inlineStr">
        <is>
          <t>Sin precio: no se pudo consultar mercado desde este entorno.</t>
        </is>
      </c>
    </row>
    <row r="9">
      <c r="A9" s="13" t="inlineStr">
        <is>
          <t>SIL-EST</t>
        </is>
      </c>
      <c r="B9" s="13" t="inlineStr">
        <is>
          <t>Silicona de sellado de vidrio</t>
        </is>
      </c>
      <c r="C9" s="13" t="inlineStr">
        <is>
          <t>Insumos</t>
        </is>
      </c>
      <c r="D9" s="13" t="inlineStr">
        <is>
          <t>ml</t>
        </is>
      </c>
      <c r="E9" s="24" t="n"/>
      <c r="F9" s="24" t="n"/>
      <c r="G9" s="13" t="inlineStr"/>
      <c r="H9" s="13" t="inlineStr"/>
      <c r="I9" s="13" t="inlineStr">
        <is>
          <t>Pendiente</t>
        </is>
      </c>
      <c r="J9" s="13" t="inlineStr"/>
    </row>
    <row r="10">
      <c r="A10" s="13" t="inlineStr">
        <is>
          <t>PTA-MARCO-AL</t>
        </is>
      </c>
      <c r="B10" s="13" t="inlineStr">
        <is>
          <t>Marco de aluminio para hoja de puerta</t>
        </is>
      </c>
      <c r="C10" s="13" t="inlineStr">
        <is>
          <t>Puertas</t>
        </is>
      </c>
      <c r="D10" s="13" t="inlineStr">
        <is>
          <t>ml</t>
        </is>
      </c>
      <c r="E10" s="24" t="n"/>
      <c r="F10" s="24" t="n"/>
      <c r="G10" s="13" t="inlineStr"/>
      <c r="H10" s="13" t="inlineStr"/>
      <c r="I10" s="13" t="inlineStr">
        <is>
          <t>Pendiente</t>
        </is>
      </c>
      <c r="J10" s="13" t="inlineStr"/>
    </row>
    <row r="11">
      <c r="A11" s="13" t="inlineStr">
        <is>
          <t>PTA-CORR</t>
        </is>
      </c>
      <c r="B11" s="13" t="inlineStr">
        <is>
          <t>Sistema corredizo para puerta (riel y rodamientos)</t>
        </is>
      </c>
      <c r="C11" s="13" t="inlineStr">
        <is>
          <t>Herrajes</t>
        </is>
      </c>
      <c r="D11" s="13" t="inlineStr">
        <is>
          <t>juego</t>
        </is>
      </c>
      <c r="E11" s="24" t="n"/>
      <c r="F11" s="24" t="n"/>
      <c r="G11" s="13" t="inlineStr"/>
      <c r="H11" s="13" t="inlineStr"/>
      <c r="I11" s="13" t="inlineStr">
        <is>
          <t>Pendiente</t>
        </is>
      </c>
      <c r="J11" s="13" t="inlineStr"/>
    </row>
    <row r="12">
      <c r="A12" s="13" t="inlineStr">
        <is>
          <t>PTA-BIS</t>
        </is>
      </c>
      <c r="B12" s="13" t="inlineStr">
        <is>
          <t>Bisagra para puerta batiente</t>
        </is>
      </c>
      <c r="C12" s="13" t="inlineStr">
        <is>
          <t>Herrajes</t>
        </is>
      </c>
      <c r="D12" s="13" t="inlineStr">
        <is>
          <t>und</t>
        </is>
      </c>
      <c r="E12" s="24" t="n"/>
      <c r="F12" s="24" t="n"/>
      <c r="G12" s="13" t="inlineStr"/>
      <c r="H12" s="13" t="inlineStr"/>
      <c r="I12" s="13" t="inlineStr">
        <is>
          <t>Pendiente</t>
        </is>
      </c>
      <c r="J12" s="13" t="inlineStr"/>
    </row>
    <row r="13">
      <c r="A13" s="13" t="inlineStr">
        <is>
          <t>PTA-MAN</t>
        </is>
      </c>
      <c r="B13" s="13" t="inlineStr">
        <is>
          <t>Manija de puerta</t>
        </is>
      </c>
      <c r="C13" s="13" t="inlineStr">
        <is>
          <t>Herrajes</t>
        </is>
      </c>
      <c r="D13" s="13" t="inlineStr">
        <is>
          <t>und</t>
        </is>
      </c>
      <c r="E13" s="24" t="n"/>
      <c r="F13" s="24" t="n"/>
      <c r="G13" s="13" t="inlineStr"/>
      <c r="H13" s="13" t="inlineStr"/>
      <c r="I13" s="13" t="inlineStr">
        <is>
          <t>Pendiente</t>
        </is>
      </c>
      <c r="J13" s="13" t="inlineStr"/>
    </row>
    <row r="14">
      <c r="A14" s="13" t="inlineStr">
        <is>
          <t>PTA-TOPE</t>
        </is>
      </c>
      <c r="B14" s="13" t="inlineStr">
        <is>
          <t>Tope de puerta</t>
        </is>
      </c>
      <c r="C14" s="13" t="inlineStr">
        <is>
          <t>Herrajes</t>
        </is>
      </c>
      <c r="D14" s="13" t="inlineStr">
        <is>
          <t>und</t>
        </is>
      </c>
      <c r="E14" s="24" t="n"/>
      <c r="F14" s="24" t="n"/>
      <c r="G14" s="13" t="inlineStr"/>
      <c r="H14" s="13" t="inlineStr"/>
      <c r="I14" s="13" t="inlineStr">
        <is>
          <t>Pendiente</t>
        </is>
      </c>
      <c r="J14" s="13" t="inlineStr"/>
    </row>
    <row r="15">
      <c r="A15" s="13" t="inlineStr">
        <is>
          <t>PTA-CHAPA-PL</t>
        </is>
      </c>
      <c r="B15" s="13" t="inlineStr">
        <is>
          <t>Chapa cerradura pico de loro</t>
        </is>
      </c>
      <c r="C15" s="13" t="inlineStr">
        <is>
          <t>Herrajes</t>
        </is>
      </c>
      <c r="D15" s="13" t="inlineStr">
        <is>
          <t>und</t>
        </is>
      </c>
      <c r="E15" s="24" t="n"/>
      <c r="F15" s="24" t="n"/>
      <c r="G15" s="13" t="inlineStr"/>
      <c r="H15" s="13" t="inlineStr"/>
      <c r="I15" s="13" t="inlineStr">
        <is>
          <t>Pendiente</t>
        </is>
      </c>
      <c r="J15" s="13" t="inlineStr"/>
    </row>
    <row r="16">
      <c r="A16" s="13" t="inlineStr">
        <is>
          <t>PTA-PAS</t>
        </is>
      </c>
      <c r="B16" s="13" t="inlineStr">
        <is>
          <t>Pasador de puerta</t>
        </is>
      </c>
      <c r="C16" s="13" t="inlineStr">
        <is>
          <t>Herrajes</t>
        </is>
      </c>
      <c r="D16" s="13" t="inlineStr">
        <is>
          <t>und</t>
        </is>
      </c>
      <c r="E16" s="24" t="n"/>
      <c r="F16" s="24" t="n"/>
      <c r="G16" s="13" t="inlineStr"/>
      <c r="H16" s="13" t="inlineStr"/>
      <c r="I16" s="13" t="inlineStr">
        <is>
          <t>Pendiente</t>
        </is>
      </c>
      <c r="J16" s="13" t="inlineStr"/>
    </row>
    <row r="17">
      <c r="A17" s="13" t="inlineStr">
        <is>
          <t>TAB-15-215x244</t>
        </is>
      </c>
      <c r="B17" s="13" t="inlineStr">
        <is>
          <t>Tablero 15 mm 2.15 x 2.44 m (Madecentro)</t>
        </is>
      </c>
      <c r="C17" s="13" t="inlineStr">
        <is>
          <t>Tableros</t>
        </is>
      </c>
      <c r="D17" s="13" t="inlineStr">
        <is>
          <t>hoja</t>
        </is>
      </c>
      <c r="E17" s="24" t="n">
        <v>450000</v>
      </c>
      <c r="F17" s="24" t="n"/>
      <c r="G17" s="13" t="inlineStr">
        <is>
          <t>Madecentro</t>
        </is>
      </c>
      <c r="H17" s="13" t="inlineStr"/>
      <c r="I17" s="13" t="inlineStr">
        <is>
          <t>Confirmado</t>
        </is>
      </c>
      <c r="J17" s="13" t="inlineStr">
        <is>
          <t>Dato del cliente.</t>
        </is>
      </c>
    </row>
    <row r="18">
      <c r="A18" s="13" t="inlineStr">
        <is>
          <t>CANTO-3CM</t>
        </is>
      </c>
      <c r="B18" s="13" t="inlineStr">
        <is>
          <t>Canto rigido 3 cm instalado</t>
        </is>
      </c>
      <c r="C18" s="13" t="inlineStr">
        <is>
          <t>Tableros</t>
        </is>
      </c>
      <c r="D18" s="13" t="inlineStr">
        <is>
          <t>ml</t>
        </is>
      </c>
      <c r="E18" s="24" t="n">
        <v>9500</v>
      </c>
      <c r="F18" s="24" t="n"/>
      <c r="G18" s="13" t="inlineStr"/>
      <c r="H18" s="13" t="inlineStr"/>
      <c r="I18" s="13" t="inlineStr">
        <is>
          <t>Confirmado</t>
        </is>
      </c>
      <c r="J18" s="13" t="inlineStr">
        <is>
          <t>Dato del cliente.</t>
        </is>
      </c>
    </row>
    <row r="19">
      <c r="A19" s="13" t="inlineStr">
        <is>
          <t>ARCH-2X1</t>
        </is>
      </c>
      <c r="B19" s="13" t="inlineStr">
        <is>
          <t>Archivador 2x1 mini</t>
        </is>
      </c>
      <c r="C19" s="13" t="inlineStr">
        <is>
          <t>Mobiliario</t>
        </is>
      </c>
      <c r="D19" s="13" t="inlineStr">
        <is>
          <t>und</t>
        </is>
      </c>
      <c r="E19" s="24" t="n"/>
      <c r="F19" s="24" t="n"/>
      <c r="G19" s="13" t="inlineStr"/>
      <c r="H19" s="13" t="inlineStr"/>
      <c r="I19" s="13" t="inlineStr">
        <is>
          <t>Pendiente</t>
        </is>
      </c>
      <c r="J19" s="13" t="inlineStr"/>
    </row>
    <row r="20">
      <c r="A20" s="13" t="inlineStr">
        <is>
          <t>TUB-2X2-C18</t>
        </is>
      </c>
      <c r="B20" s="13" t="inlineStr">
        <is>
          <t>Tubo cuadrado 2x2" calibre 18 (barra 6 m)</t>
        </is>
      </c>
      <c r="C20" s="13" t="inlineStr">
        <is>
          <t>Estructura</t>
        </is>
      </c>
      <c r="D20" s="13" t="inlineStr">
        <is>
          <t>barra</t>
        </is>
      </c>
      <c r="E20" s="24" t="n"/>
      <c r="F20" s="24" t="n"/>
      <c r="G20" s="13" t="inlineStr"/>
      <c r="H20" s="13" t="inlineStr"/>
      <c r="I20" s="13" t="inlineStr">
        <is>
          <t>Pendiente</t>
        </is>
      </c>
      <c r="J20" s="13" t="inlineStr">
        <is>
          <t>Sin precio de mercado.</t>
        </is>
      </c>
    </row>
    <row r="21">
      <c r="A21" s="13" t="inlineStr">
        <is>
          <t>PINT-ELEC</t>
        </is>
      </c>
      <c r="B21" s="13" t="inlineStr">
        <is>
          <t>Pintura electrostatica estructuras</t>
        </is>
      </c>
      <c r="C21" s="13" t="inlineStr">
        <is>
          <t>Estructura</t>
        </is>
      </c>
      <c r="D21" s="13" t="inlineStr">
        <is>
          <t>m2</t>
        </is>
      </c>
      <c r="E21" s="24" t="n"/>
      <c r="F21" s="24" t="n"/>
      <c r="G21" s="13" t="inlineStr"/>
      <c r="H21" s="13" t="inlineStr"/>
      <c r="I21" s="13" t="inlineStr">
        <is>
          <t>Pendiente</t>
        </is>
      </c>
      <c r="J21" s="13" t="inlineStr"/>
    </row>
    <row r="22">
      <c r="A22" s="13" t="inlineStr">
        <is>
          <t>CAN-ELEC-ISLA</t>
        </is>
      </c>
      <c r="B22" s="13" t="inlineStr">
        <is>
          <t>Canaletas electricas y cableado estructurado isla</t>
        </is>
      </c>
      <c r="C22" s="13" t="inlineStr">
        <is>
          <t>Electrico</t>
        </is>
      </c>
      <c r="D22" s="13" t="inlineStr">
        <is>
          <t>global</t>
        </is>
      </c>
      <c r="E22" s="24" t="n"/>
      <c r="F22" s="24" t="n"/>
      <c r="G22" s="13" t="inlineStr"/>
      <c r="H22" s="13" t="inlineStr"/>
      <c r="I22" s="13" t="inlineStr">
        <is>
          <t>Pendiente</t>
        </is>
      </c>
      <c r="J22" s="13" t="inlineStr"/>
    </row>
    <row r="23">
      <c r="A23" s="13" t="inlineStr">
        <is>
          <t>SIL-GER</t>
        </is>
      </c>
      <c r="B23" s="13" t="inlineStr">
        <is>
          <t>Silla presidencial gerencia</t>
        </is>
      </c>
      <c r="C23" s="13" t="inlineStr">
        <is>
          <t>Sillas</t>
        </is>
      </c>
      <c r="D23" s="13" t="inlineStr">
        <is>
          <t>und</t>
        </is>
      </c>
      <c r="E23" s="24" t="n">
        <v>550000</v>
      </c>
      <c r="F23" s="24" t="n">
        <v>700000</v>
      </c>
      <c r="G23" s="13" t="inlineStr"/>
      <c r="H23" s="13" t="inlineStr"/>
      <c r="I23" s="13" t="inlineStr">
        <is>
          <t>Confirmado</t>
        </is>
      </c>
      <c r="J23" s="13" t="inlineStr"/>
    </row>
    <row r="24">
      <c r="A24" s="13" t="inlineStr">
        <is>
          <t>SIL-ADM</t>
        </is>
      </c>
      <c r="B24" s="13" t="inlineStr">
        <is>
          <t>Silla ejecutiva administrativa</t>
        </is>
      </c>
      <c r="C24" s="13" t="inlineStr">
        <is>
          <t>Sillas</t>
        </is>
      </c>
      <c r="D24" s="13" t="inlineStr">
        <is>
          <t>und</t>
        </is>
      </c>
      <c r="E24" s="24" t="n">
        <v>330000</v>
      </c>
      <c r="F24" s="24" t="n">
        <v>490000</v>
      </c>
      <c r="G24" s="13" t="inlineStr"/>
      <c r="H24" s="13" t="inlineStr"/>
      <c r="I24" s="13" t="inlineStr">
        <is>
          <t>Confirmado</t>
        </is>
      </c>
      <c r="J24" s="13" t="inlineStr"/>
    </row>
    <row r="25">
      <c r="A25" s="13" t="inlineStr">
        <is>
          <t>SIL-INT</t>
        </is>
      </c>
      <c r="B25" s="13" t="inlineStr">
        <is>
          <t>Silla interlocutora</t>
        </is>
      </c>
      <c r="C25" s="13" t="inlineStr">
        <is>
          <t>Sillas</t>
        </is>
      </c>
      <c r="D25" s="13" t="inlineStr">
        <is>
          <t>und</t>
        </is>
      </c>
      <c r="E25" s="24" t="n"/>
      <c r="F25" s="24" t="n"/>
      <c r="G25" s="13" t="inlineStr"/>
      <c r="H25" s="13" t="inlineStr"/>
      <c r="I25" s="13" t="inlineStr">
        <is>
          <t>Pendiente</t>
        </is>
      </c>
      <c r="J25" s="13" t="inlineStr">
        <is>
          <t>Costo y precio no dados.</t>
        </is>
      </c>
    </row>
    <row r="26">
      <c r="A26" s="13" t="inlineStr">
        <is>
          <t>SIL-JUN</t>
        </is>
      </c>
      <c r="B26" s="13" t="inlineStr">
        <is>
          <t>Silla giratoria sala de juntas</t>
        </is>
      </c>
      <c r="C26" s="13" t="inlineStr">
        <is>
          <t>Sillas</t>
        </is>
      </c>
      <c r="D26" s="13" t="inlineStr">
        <is>
          <t>und</t>
        </is>
      </c>
      <c r="E26" s="24" t="n">
        <v>320000</v>
      </c>
      <c r="F26" s="24" t="n">
        <v>480000</v>
      </c>
      <c r="G26" s="13" t="inlineStr"/>
      <c r="H26" s="13" t="inlineStr"/>
      <c r="I26" s="13" t="inlineStr">
        <is>
          <t>Confirmado</t>
        </is>
      </c>
      <c r="J26" s="13" t="inlineStr"/>
    </row>
    <row r="27">
      <c r="A27" s="13" t="inlineStr">
        <is>
          <t>SIL-ISL</t>
        </is>
      </c>
      <c r="B27" s="13" t="inlineStr">
        <is>
          <t>Silla ejecutiva isla</t>
        </is>
      </c>
      <c r="C27" s="13" t="inlineStr">
        <is>
          <t>Sillas</t>
        </is>
      </c>
      <c r="D27" s="13" t="inlineStr">
        <is>
          <t>und</t>
        </is>
      </c>
      <c r="E27" s="24" t="n">
        <v>280000</v>
      </c>
      <c r="F27" s="24" t="n">
        <v>390000</v>
      </c>
      <c r="G27" s="13" t="inlineStr"/>
      <c r="H27" s="13" t="inlineStr"/>
      <c r="I27" s="13" t="inlineStr">
        <is>
          <t>Confirmado</t>
        </is>
      </c>
      <c r="J27" s="13" t="inlineStr"/>
    </row>
    <row r="28">
      <c r="A28" s="13" t="inlineStr">
        <is>
          <t>SOFA-2P</t>
        </is>
      </c>
      <c r="B28" s="13" t="inlineStr">
        <is>
          <t>Sofa 2 puestos gerencia</t>
        </is>
      </c>
      <c r="C28" s="13" t="inlineStr">
        <is>
          <t>Mobiliario</t>
        </is>
      </c>
      <c r="D28" s="13" t="inlineStr">
        <is>
          <t>und</t>
        </is>
      </c>
      <c r="E28" s="24" t="n">
        <v>700000</v>
      </c>
      <c r="F28" s="24" t="n">
        <v>1250000</v>
      </c>
      <c r="G28" s="13" t="inlineStr"/>
      <c r="H28" s="13" t="inlineStr"/>
      <c r="I28" s="13" t="inlineStr">
        <is>
          <t>Confirmado</t>
        </is>
      </c>
      <c r="J28" s="13" t="inlineStr"/>
    </row>
    <row r="29">
      <c r="A29" s="13" t="inlineStr">
        <is>
          <t>MESA-PEQ</t>
        </is>
      </c>
      <c r="B29" s="13" t="inlineStr">
        <is>
          <t>Mesa pequena gerencia</t>
        </is>
      </c>
      <c r="C29" s="13" t="inlineStr">
        <is>
          <t>Mobiliario</t>
        </is>
      </c>
      <c r="D29" s="13" t="inlineStr">
        <is>
          <t>und</t>
        </is>
      </c>
      <c r="E29" s="24" t="n">
        <v>200000</v>
      </c>
      <c r="F29" s="24" t="n">
        <v>290000</v>
      </c>
      <c r="G29" s="13" t="inlineStr"/>
      <c r="H29" s="13" t="inlineStr"/>
      <c r="I29" s="13" t="inlineStr">
        <is>
          <t>Confirmado</t>
        </is>
      </c>
      <c r="J29" s="13" t="inlineStr"/>
    </row>
    <row r="30">
      <c r="A30" s="20" t="n"/>
      <c r="B30" s="20" t="n"/>
      <c r="C30" s="20" t="n"/>
      <c r="D30" s="20" t="n"/>
      <c r="E30" s="26" t="n"/>
      <c r="F30" s="26" t="n"/>
      <c r="G30" s="20" t="n"/>
      <c r="H30" s="20" t="n"/>
      <c r="I30" s="20" t="n"/>
      <c r="J30" s="20" t="n"/>
    </row>
    <row r="31">
      <c r="A31" s="20" t="n"/>
      <c r="B31" s="20" t="n"/>
      <c r="C31" s="20" t="n"/>
      <c r="D31" s="20" t="n"/>
      <c r="E31" s="26" t="n"/>
      <c r="F31" s="26" t="n"/>
      <c r="G31" s="20" t="n"/>
      <c r="H31" s="20" t="n"/>
      <c r="I31" s="20" t="n"/>
      <c r="J31" s="20" t="n"/>
    </row>
    <row r="32">
      <c r="A32" s="20" t="n"/>
      <c r="B32" s="20" t="n"/>
      <c r="C32" s="20" t="n"/>
      <c r="D32" s="20" t="n"/>
      <c r="E32" s="26" t="n"/>
      <c r="F32" s="26" t="n"/>
      <c r="G32" s="20" t="n"/>
      <c r="H32" s="20" t="n"/>
      <c r="I32" s="20" t="n"/>
      <c r="J32" s="20" t="n"/>
    </row>
    <row r="33">
      <c r="A33" s="20" t="n"/>
      <c r="B33" s="20" t="n"/>
      <c r="C33" s="20" t="n"/>
      <c r="D33" s="20" t="n"/>
      <c r="E33" s="26" t="n"/>
      <c r="F33" s="26" t="n"/>
      <c r="G33" s="20" t="n"/>
      <c r="H33" s="20" t="n"/>
      <c r="I33" s="20" t="n"/>
      <c r="J33" s="20" t="n"/>
    </row>
    <row r="34">
      <c r="A34" s="20" t="n"/>
      <c r="B34" s="20" t="n"/>
      <c r="C34" s="20" t="n"/>
      <c r="D34" s="20" t="n"/>
      <c r="E34" s="26" t="n"/>
      <c r="F34" s="26" t="n"/>
      <c r="G34" s="20" t="n"/>
      <c r="H34" s="20" t="n"/>
      <c r="I34" s="20" t="n"/>
      <c r="J34" s="20" t="n"/>
    </row>
    <row r="35">
      <c r="A35" s="20" t="n"/>
      <c r="B35" s="20" t="n"/>
      <c r="C35" s="20" t="n"/>
      <c r="D35" s="20" t="n"/>
      <c r="E35" s="26" t="n"/>
      <c r="F35" s="26" t="n"/>
      <c r="G35" s="20" t="n"/>
      <c r="H35" s="20" t="n"/>
      <c r="I35" s="20" t="n"/>
      <c r="J35" s="20" t="n"/>
    </row>
    <row r="36">
      <c r="A36" s="20" t="n"/>
      <c r="B36" s="20" t="n"/>
      <c r="C36" s="20" t="n"/>
      <c r="D36" s="20" t="n"/>
      <c r="E36" s="26" t="n"/>
      <c r="F36" s="26" t="n"/>
      <c r="G36" s="20" t="n"/>
      <c r="H36" s="20" t="n"/>
      <c r="I36" s="20" t="n"/>
      <c r="J36" s="20" t="n"/>
    </row>
    <row r="37">
      <c r="A37" s="20" t="n"/>
      <c r="B37" s="20" t="n"/>
      <c r="C37" s="20" t="n"/>
      <c r="D37" s="20" t="n"/>
      <c r="E37" s="26" t="n"/>
      <c r="F37" s="26" t="n"/>
      <c r="G37" s="20" t="n"/>
      <c r="H37" s="20" t="n"/>
      <c r="I37" s="20" t="n"/>
      <c r="J37" s="20" t="n"/>
    </row>
    <row r="38">
      <c r="A38" s="20" t="n"/>
      <c r="B38" s="20" t="n"/>
      <c r="C38" s="20" t="n"/>
      <c r="D38" s="20" t="n"/>
      <c r="E38" s="26" t="n"/>
      <c r="F38" s="26" t="n"/>
      <c r="G38" s="20" t="n"/>
      <c r="H38" s="20" t="n"/>
      <c r="I38" s="20" t="n"/>
      <c r="J38" s="20" t="n"/>
    </row>
    <row r="39">
      <c r="A39" s="20" t="n"/>
      <c r="B39" s="20" t="n"/>
      <c r="C39" s="20" t="n"/>
      <c r="D39" s="20" t="n"/>
      <c r="E39" s="26" t="n"/>
      <c r="F39" s="26" t="n"/>
      <c r="G39" s="20" t="n"/>
      <c r="H39" s="20" t="n"/>
      <c r="I39" s="20" t="n"/>
      <c r="J39" s="20" t="n"/>
    </row>
    <row r="40">
      <c r="A40" s="20" t="n"/>
      <c r="B40" s="20" t="n"/>
      <c r="C40" s="20" t="n"/>
      <c r="D40" s="20" t="n"/>
      <c r="E40" s="26" t="n"/>
      <c r="F40" s="26" t="n"/>
      <c r="G40" s="20" t="n"/>
      <c r="H40" s="20" t="n"/>
      <c r="I40" s="20" t="n"/>
      <c r="J40" s="20" t="n"/>
    </row>
    <row r="41">
      <c r="A41" s="20" t="n"/>
      <c r="B41" s="20" t="n"/>
      <c r="C41" s="20" t="n"/>
      <c r="D41" s="20" t="n"/>
      <c r="E41" s="26" t="n"/>
      <c r="F41" s="26" t="n"/>
      <c r="G41" s="20" t="n"/>
      <c r="H41" s="20" t="n"/>
      <c r="I41" s="20" t="n"/>
      <c r="J41" s="20" t="n"/>
    </row>
    <row r="42">
      <c r="A42" s="20" t="n"/>
      <c r="B42" s="20" t="n"/>
      <c r="C42" s="20" t="n"/>
      <c r="D42" s="20" t="n"/>
      <c r="E42" s="26" t="n"/>
      <c r="F42" s="26" t="n"/>
      <c r="G42" s="20" t="n"/>
      <c r="H42" s="20" t="n"/>
      <c r="I42" s="20" t="n"/>
      <c r="J42" s="20" t="n"/>
    </row>
    <row r="43">
      <c r="A43" s="20" t="n"/>
      <c r="B43" s="20" t="n"/>
      <c r="C43" s="20" t="n"/>
      <c r="D43" s="20" t="n"/>
      <c r="E43" s="26" t="n"/>
      <c r="F43" s="26" t="n"/>
      <c r="G43" s="20" t="n"/>
      <c r="H43" s="20" t="n"/>
      <c r="I43" s="20" t="n"/>
      <c r="J43" s="20" t="n"/>
    </row>
    <row r="44">
      <c r="A44" s="20" t="n"/>
      <c r="B44" s="20" t="n"/>
      <c r="C44" s="20" t="n"/>
      <c r="D44" s="20" t="n"/>
      <c r="E44" s="26" t="n"/>
      <c r="F44" s="26" t="n"/>
      <c r="G44" s="20" t="n"/>
      <c r="H44" s="20" t="n"/>
      <c r="I44" s="20" t="n"/>
      <c r="J44" s="20" t="n"/>
    </row>
    <row r="45">
      <c r="A45" s="20" t="n"/>
      <c r="B45" s="20" t="n"/>
      <c r="C45" s="20" t="n"/>
      <c r="D45" s="20" t="n"/>
      <c r="E45" s="26" t="n"/>
      <c r="F45" s="26" t="n"/>
      <c r="G45" s="20" t="n"/>
      <c r="H45" s="20" t="n"/>
      <c r="I45" s="20" t="n"/>
      <c r="J45" s="20" t="n"/>
    </row>
    <row r="46">
      <c r="A46" s="20" t="n"/>
      <c r="B46" s="20" t="n"/>
      <c r="C46" s="20" t="n"/>
      <c r="D46" s="20" t="n"/>
      <c r="E46" s="26" t="n"/>
      <c r="F46" s="26" t="n"/>
      <c r="G46" s="20" t="n"/>
      <c r="H46" s="20" t="n"/>
      <c r="I46" s="20" t="n"/>
      <c r="J46" s="20" t="n"/>
    </row>
    <row r="47">
      <c r="A47" s="20" t="n"/>
      <c r="B47" s="20" t="n"/>
      <c r="C47" s="20" t="n"/>
      <c r="D47" s="20" t="n"/>
      <c r="E47" s="26" t="n"/>
      <c r="F47" s="26" t="n"/>
      <c r="G47" s="20" t="n"/>
      <c r="H47" s="20" t="n"/>
      <c r="I47" s="20" t="n"/>
      <c r="J47" s="20" t="n"/>
    </row>
    <row r="48">
      <c r="A48" s="20" t="n"/>
      <c r="B48" s="20" t="n"/>
      <c r="C48" s="20" t="n"/>
      <c r="D48" s="20" t="n"/>
      <c r="E48" s="26" t="n"/>
      <c r="F48" s="26" t="n"/>
      <c r="G48" s="20" t="n"/>
      <c r="H48" s="20" t="n"/>
      <c r="I48" s="20" t="n"/>
      <c r="J48" s="20" t="n"/>
    </row>
    <row r="49">
      <c r="A49" s="20" t="n"/>
      <c r="B49" s="20" t="n"/>
      <c r="C49" s="20" t="n"/>
      <c r="D49" s="20" t="n"/>
      <c r="E49" s="26" t="n"/>
      <c r="F49" s="26" t="n"/>
      <c r="G49" s="20" t="n"/>
      <c r="H49" s="20" t="n"/>
      <c r="I49" s="20" t="n"/>
      <c r="J49" s="20" t="n"/>
    </row>
    <row r="50">
      <c r="A50" s="20" t="n"/>
      <c r="B50" s="20" t="n"/>
      <c r="C50" s="20" t="n"/>
      <c r="D50" s="20" t="n"/>
      <c r="E50" s="26" t="n"/>
      <c r="F50" s="26" t="n"/>
      <c r="G50" s="20" t="n"/>
      <c r="H50" s="20" t="n"/>
      <c r="I50" s="20" t="n"/>
      <c r="J50" s="20" t="n"/>
    </row>
    <row r="51">
      <c r="A51" s="20" t="n"/>
      <c r="B51" s="20" t="n"/>
      <c r="C51" s="20" t="n"/>
      <c r="D51" s="20" t="n"/>
      <c r="E51" s="26" t="n"/>
      <c r="F51" s="26" t="n"/>
      <c r="G51" s="20" t="n"/>
      <c r="H51" s="20" t="n"/>
      <c r="I51" s="20" t="n"/>
      <c r="J51" s="20" t="n"/>
    </row>
    <row r="52">
      <c r="A52" s="20" t="n"/>
      <c r="B52" s="20" t="n"/>
      <c r="C52" s="20" t="n"/>
      <c r="D52" s="20" t="n"/>
      <c r="E52" s="26" t="n"/>
      <c r="F52" s="26" t="n"/>
      <c r="G52" s="20" t="n"/>
      <c r="H52" s="20" t="n"/>
      <c r="I52" s="20" t="n"/>
      <c r="J52" s="20" t="n"/>
    </row>
    <row r="53">
      <c r="A53" s="20" t="n"/>
      <c r="B53" s="20" t="n"/>
      <c r="C53" s="20" t="n"/>
      <c r="D53" s="20" t="n"/>
      <c r="E53" s="26" t="n"/>
      <c r="F53" s="26" t="n"/>
      <c r="G53" s="20" t="n"/>
      <c r="H53" s="20" t="n"/>
      <c r="I53" s="20" t="n"/>
      <c r="J53" s="20" t="n"/>
    </row>
    <row r="54">
      <c r="A54" s="20" t="n"/>
      <c r="B54" s="20" t="n"/>
      <c r="C54" s="20" t="n"/>
      <c r="D54" s="20" t="n"/>
      <c r="E54" s="26" t="n"/>
      <c r="F54" s="26" t="n"/>
      <c r="G54" s="20" t="n"/>
      <c r="H54" s="20" t="n"/>
      <c r="I54" s="20" t="n"/>
      <c r="J54" s="20" t="n"/>
    </row>
    <row r="55">
      <c r="A55" s="20" t="n"/>
      <c r="B55" s="20" t="n"/>
      <c r="C55" s="20" t="n"/>
      <c r="D55" s="20" t="n"/>
      <c r="E55" s="26" t="n"/>
      <c r="F55" s="26" t="n"/>
      <c r="G55" s="20" t="n"/>
      <c r="H55" s="20" t="n"/>
      <c r="I55" s="20" t="n"/>
      <c r="J55" s="20" t="n"/>
    </row>
    <row r="56">
      <c r="A56" s="20" t="n"/>
      <c r="B56" s="20" t="n"/>
      <c r="C56" s="20" t="n"/>
      <c r="D56" s="20" t="n"/>
      <c r="E56" s="26" t="n"/>
      <c r="F56" s="26" t="n"/>
      <c r="G56" s="20" t="n"/>
      <c r="H56" s="20" t="n"/>
      <c r="I56" s="20" t="n"/>
      <c r="J56" s="20" t="n"/>
    </row>
    <row r="57">
      <c r="A57" s="20" t="n"/>
      <c r="B57" s="20" t="n"/>
      <c r="C57" s="20" t="n"/>
      <c r="D57" s="20" t="n"/>
      <c r="E57" s="26" t="n"/>
      <c r="F57" s="26" t="n"/>
      <c r="G57" s="20" t="n"/>
      <c r="H57" s="20" t="n"/>
      <c r="I57" s="20" t="n"/>
      <c r="J57" s="20" t="n"/>
    </row>
    <row r="58">
      <c r="A58" s="20" t="n"/>
      <c r="B58" s="20" t="n"/>
      <c r="C58" s="20" t="n"/>
      <c r="D58" s="20" t="n"/>
      <c r="E58" s="26" t="n"/>
      <c r="F58" s="26" t="n"/>
      <c r="G58" s="20" t="n"/>
      <c r="H58" s="20" t="n"/>
      <c r="I58" s="20" t="n"/>
      <c r="J58" s="20" t="n"/>
    </row>
    <row r="59">
      <c r="A59" s="20" t="n"/>
      <c r="B59" s="20" t="n"/>
      <c r="C59" s="20" t="n"/>
      <c r="D59" s="20" t="n"/>
      <c r="E59" s="26" t="n"/>
      <c r="F59" s="26" t="n"/>
      <c r="G59" s="20" t="n"/>
      <c r="H59" s="20" t="n"/>
      <c r="I59" s="20" t="n"/>
      <c r="J59" s="20" t="n"/>
    </row>
    <row r="60">
      <c r="A60" s="20" t="n"/>
      <c r="B60" s="20" t="n"/>
      <c r="C60" s="20" t="n"/>
      <c r="D60" s="20" t="n"/>
      <c r="E60" s="26" t="n"/>
      <c r="F60" s="26" t="n"/>
      <c r="G60" s="20" t="n"/>
      <c r="H60" s="20" t="n"/>
      <c r="I60" s="20" t="n"/>
      <c r="J60" s="20" t="n"/>
    </row>
    <row r="61">
      <c r="A61" s="20" t="n"/>
      <c r="B61" s="20" t="n"/>
      <c r="C61" s="20" t="n"/>
      <c r="D61" s="20" t="n"/>
      <c r="E61" s="26" t="n"/>
      <c r="F61" s="26" t="n"/>
      <c r="G61" s="20" t="n"/>
      <c r="H61" s="20" t="n"/>
      <c r="I61" s="20" t="n"/>
      <c r="J61" s="20" t="n"/>
    </row>
    <row r="62">
      <c r="A62" s="20" t="n"/>
      <c r="B62" s="20" t="n"/>
      <c r="C62" s="20" t="n"/>
      <c r="D62" s="20" t="n"/>
      <c r="E62" s="26" t="n"/>
      <c r="F62" s="26" t="n"/>
      <c r="G62" s="20" t="n"/>
      <c r="H62" s="20" t="n"/>
      <c r="I62" s="20" t="n"/>
      <c r="J62" s="20" t="n"/>
    </row>
    <row r="63">
      <c r="A63" s="20" t="n"/>
      <c r="B63" s="20" t="n"/>
      <c r="C63" s="20" t="n"/>
      <c r="D63" s="20" t="n"/>
      <c r="E63" s="26" t="n"/>
      <c r="F63" s="26" t="n"/>
      <c r="G63" s="20" t="n"/>
      <c r="H63" s="20" t="n"/>
      <c r="I63" s="20" t="n"/>
      <c r="J63" s="20" t="n"/>
    </row>
    <row r="64">
      <c r="A64" s="20" t="n"/>
      <c r="B64" s="20" t="n"/>
      <c r="C64" s="20" t="n"/>
      <c r="D64" s="20" t="n"/>
      <c r="E64" s="26" t="n"/>
      <c r="F64" s="26" t="n"/>
      <c r="G64" s="20" t="n"/>
      <c r="H64" s="20" t="n"/>
      <c r="I64" s="20" t="n"/>
      <c r="J64" s="20" t="n"/>
    </row>
    <row r="65">
      <c r="A65" s="20" t="n"/>
      <c r="B65" s="20" t="n"/>
      <c r="C65" s="20" t="n"/>
      <c r="D65" s="20" t="n"/>
      <c r="E65" s="26" t="n"/>
      <c r="F65" s="26" t="n"/>
      <c r="G65" s="20" t="n"/>
      <c r="H65" s="20" t="n"/>
      <c r="I65" s="20" t="n"/>
      <c r="J65" s="20" t="n"/>
    </row>
    <row r="66">
      <c r="A66" s="20" t="n"/>
      <c r="B66" s="20" t="n"/>
      <c r="C66" s="20" t="n"/>
      <c r="D66" s="20" t="n"/>
      <c r="E66" s="26" t="n"/>
      <c r="F66" s="26" t="n"/>
      <c r="G66" s="20" t="n"/>
      <c r="H66" s="20" t="n"/>
      <c r="I66" s="20" t="n"/>
      <c r="J66" s="20" t="n"/>
    </row>
    <row r="67">
      <c r="A67" s="20" t="n"/>
      <c r="B67" s="20" t="n"/>
      <c r="C67" s="20" t="n"/>
      <c r="D67" s="20" t="n"/>
      <c r="E67" s="26" t="n"/>
      <c r="F67" s="26" t="n"/>
      <c r="G67" s="20" t="n"/>
      <c r="H67" s="20" t="n"/>
      <c r="I67" s="20" t="n"/>
      <c r="J67" s="20" t="n"/>
    </row>
    <row r="68">
      <c r="A68" s="20" t="n"/>
      <c r="B68" s="20" t="n"/>
      <c r="C68" s="20" t="n"/>
      <c r="D68" s="20" t="n"/>
      <c r="E68" s="26" t="n"/>
      <c r="F68" s="26" t="n"/>
      <c r="G68" s="20" t="n"/>
      <c r="H68" s="20" t="n"/>
      <c r="I68" s="20" t="n"/>
      <c r="J68" s="20" t="n"/>
    </row>
    <row r="69">
      <c r="A69" s="20" t="n"/>
      <c r="B69" s="20" t="n"/>
      <c r="C69" s="20" t="n"/>
      <c r="D69" s="20" t="n"/>
      <c r="E69" s="26" t="n"/>
      <c r="F69" s="26" t="n"/>
      <c r="G69" s="20" t="n"/>
      <c r="H69" s="20" t="n"/>
      <c r="I69" s="20" t="n"/>
      <c r="J69" s="20" t="n"/>
    </row>
    <row r="70">
      <c r="A70" s="20" t="n"/>
      <c r="B70" s="20" t="n"/>
      <c r="C70" s="20" t="n"/>
      <c r="D70" s="20" t="n"/>
      <c r="E70" s="26" t="n"/>
      <c r="F70" s="26" t="n"/>
      <c r="G70" s="20" t="n"/>
      <c r="H70" s="20" t="n"/>
      <c r="I70" s="20" t="n"/>
      <c r="J70" s="20" t="n"/>
    </row>
    <row r="71">
      <c r="A71" s="20" t="n"/>
      <c r="B71" s="20" t="n"/>
      <c r="C71" s="20" t="n"/>
      <c r="D71" s="20" t="n"/>
      <c r="E71" s="26" t="n"/>
      <c r="F71" s="26" t="n"/>
      <c r="G71" s="20" t="n"/>
      <c r="H71" s="20" t="n"/>
      <c r="I71" s="20" t="n"/>
      <c r="J71" s="20" t="n"/>
    </row>
    <row r="72">
      <c r="A72" s="20" t="n"/>
      <c r="B72" s="20" t="n"/>
      <c r="C72" s="20" t="n"/>
      <c r="D72" s="20" t="n"/>
      <c r="E72" s="26" t="n"/>
      <c r="F72" s="26" t="n"/>
      <c r="G72" s="20" t="n"/>
      <c r="H72" s="20" t="n"/>
      <c r="I72" s="20" t="n"/>
      <c r="J72" s="20" t="n"/>
    </row>
    <row r="73">
      <c r="A73" s="20" t="n"/>
      <c r="B73" s="20" t="n"/>
      <c r="C73" s="20" t="n"/>
      <c r="D73" s="20" t="n"/>
      <c r="E73" s="26" t="n"/>
      <c r="F73" s="26" t="n"/>
      <c r="G73" s="20" t="n"/>
      <c r="H73" s="20" t="n"/>
      <c r="I73" s="20" t="n"/>
      <c r="J73" s="20" t="n"/>
    </row>
    <row r="74">
      <c r="A74" s="20" t="n"/>
      <c r="B74" s="20" t="n"/>
      <c r="C74" s="20" t="n"/>
      <c r="D74" s="20" t="n"/>
      <c r="E74" s="26" t="n"/>
      <c r="F74" s="26" t="n"/>
      <c r="G74" s="20" t="n"/>
      <c r="H74" s="20" t="n"/>
      <c r="I74" s="20" t="n"/>
      <c r="J74" s="20" t="n"/>
    </row>
    <row r="75">
      <c r="A75" s="20" t="n"/>
      <c r="B75" s="20" t="n"/>
      <c r="C75" s="20" t="n"/>
      <c r="D75" s="20" t="n"/>
      <c r="E75" s="26" t="n"/>
      <c r="F75" s="26" t="n"/>
      <c r="G75" s="20" t="n"/>
      <c r="H75" s="20" t="n"/>
      <c r="I75" s="20" t="n"/>
      <c r="J75" s="20" t="n"/>
    </row>
    <row r="76">
      <c r="A76" s="20" t="n"/>
      <c r="B76" s="20" t="n"/>
      <c r="C76" s="20" t="n"/>
      <c r="D76" s="20" t="n"/>
      <c r="E76" s="26" t="n"/>
      <c r="F76" s="26" t="n"/>
      <c r="G76" s="20" t="n"/>
      <c r="H76" s="20" t="n"/>
      <c r="I76" s="20" t="n"/>
      <c r="J76" s="20" t="n"/>
    </row>
    <row r="77">
      <c r="A77" s="20" t="n"/>
      <c r="B77" s="20" t="n"/>
      <c r="C77" s="20" t="n"/>
      <c r="D77" s="20" t="n"/>
      <c r="E77" s="26" t="n"/>
      <c r="F77" s="26" t="n"/>
      <c r="G77" s="20" t="n"/>
      <c r="H77" s="20" t="n"/>
      <c r="I77" s="20" t="n"/>
      <c r="J77" s="20" t="n"/>
    </row>
    <row r="78">
      <c r="A78" s="20" t="n"/>
      <c r="B78" s="20" t="n"/>
      <c r="C78" s="20" t="n"/>
      <c r="D78" s="20" t="n"/>
      <c r="E78" s="26" t="n"/>
      <c r="F78" s="26" t="n"/>
      <c r="G78" s="20" t="n"/>
      <c r="H78" s="20" t="n"/>
      <c r="I78" s="20" t="n"/>
      <c r="J78" s="20" t="n"/>
    </row>
    <row r="79">
      <c r="A79" s="20" t="n"/>
      <c r="B79" s="20" t="n"/>
      <c r="C79" s="20" t="n"/>
      <c r="D79" s="20" t="n"/>
      <c r="E79" s="26" t="n"/>
      <c r="F79" s="26" t="n"/>
      <c r="G79" s="20" t="n"/>
      <c r="H79" s="20" t="n"/>
      <c r="I79" s="20" t="n"/>
      <c r="J79" s="20" t="n"/>
    </row>
    <row r="80">
      <c r="A80" s="20" t="n"/>
      <c r="B80" s="20" t="n"/>
      <c r="C80" s="20" t="n"/>
      <c r="D80" s="20" t="n"/>
      <c r="E80" s="26" t="n"/>
      <c r="F80" s="26" t="n"/>
      <c r="G80" s="20" t="n"/>
      <c r="H80" s="20" t="n"/>
      <c r="I80" s="20" t="n"/>
      <c r="J80" s="20" t="n"/>
    </row>
    <row r="81">
      <c r="A81" s="20" t="n"/>
      <c r="B81" s="20" t="n"/>
      <c r="C81" s="20" t="n"/>
      <c r="D81" s="20" t="n"/>
      <c r="E81" s="26" t="n"/>
      <c r="F81" s="26" t="n"/>
      <c r="G81" s="20" t="n"/>
      <c r="H81" s="20" t="n"/>
      <c r="I81" s="20" t="n"/>
      <c r="J81" s="20" t="n"/>
    </row>
    <row r="82">
      <c r="A82" s="20" t="n"/>
      <c r="B82" s="20" t="n"/>
      <c r="C82" s="20" t="n"/>
      <c r="D82" s="20" t="n"/>
      <c r="E82" s="26" t="n"/>
      <c r="F82" s="26" t="n"/>
      <c r="G82" s="20" t="n"/>
      <c r="H82" s="20" t="n"/>
      <c r="I82" s="20" t="n"/>
      <c r="J82" s="20" t="n"/>
    </row>
    <row r="83">
      <c r="A83" s="20" t="n"/>
      <c r="B83" s="20" t="n"/>
      <c r="C83" s="20" t="n"/>
      <c r="D83" s="20" t="n"/>
      <c r="E83" s="26" t="n"/>
      <c r="F83" s="26" t="n"/>
      <c r="G83" s="20" t="n"/>
      <c r="H83" s="20" t="n"/>
      <c r="I83" s="20" t="n"/>
      <c r="J83" s="20" t="n"/>
    </row>
    <row r="84">
      <c r="A84" s="20" t="n"/>
      <c r="B84" s="20" t="n"/>
      <c r="C84" s="20" t="n"/>
      <c r="D84" s="20" t="n"/>
      <c r="E84" s="26" t="n"/>
      <c r="F84" s="26" t="n"/>
      <c r="G84" s="20" t="n"/>
      <c r="H84" s="20" t="n"/>
      <c r="I84" s="20" t="n"/>
      <c r="J84" s="20" t="n"/>
    </row>
    <row r="85">
      <c r="A85" s="20" t="n"/>
      <c r="B85" s="20" t="n"/>
      <c r="C85" s="20" t="n"/>
      <c r="D85" s="20" t="n"/>
      <c r="E85" s="26" t="n"/>
      <c r="F85" s="26" t="n"/>
      <c r="G85" s="20" t="n"/>
      <c r="H85" s="20" t="n"/>
      <c r="I85" s="20" t="n"/>
      <c r="J85" s="20" t="n"/>
    </row>
    <row r="86">
      <c r="A86" s="20" t="n"/>
      <c r="B86" s="20" t="n"/>
      <c r="C86" s="20" t="n"/>
      <c r="D86" s="20" t="n"/>
      <c r="E86" s="26" t="n"/>
      <c r="F86" s="26" t="n"/>
      <c r="G86" s="20" t="n"/>
      <c r="H86" s="20" t="n"/>
      <c r="I86" s="20" t="n"/>
      <c r="J86" s="20" t="n"/>
    </row>
    <row r="87">
      <c r="A87" s="20" t="n"/>
      <c r="B87" s="20" t="n"/>
      <c r="C87" s="20" t="n"/>
      <c r="D87" s="20" t="n"/>
      <c r="E87" s="26" t="n"/>
      <c r="F87" s="26" t="n"/>
      <c r="G87" s="20" t="n"/>
      <c r="H87" s="20" t="n"/>
      <c r="I87" s="20" t="n"/>
      <c r="J87" s="20" t="n"/>
    </row>
    <row r="88">
      <c r="A88" s="20" t="n"/>
      <c r="B88" s="20" t="n"/>
      <c r="C88" s="20" t="n"/>
      <c r="D88" s="20" t="n"/>
      <c r="E88" s="26" t="n"/>
      <c r="F88" s="26" t="n"/>
      <c r="G88" s="20" t="n"/>
      <c r="H88" s="20" t="n"/>
      <c r="I88" s="20" t="n"/>
      <c r="J88" s="20" t="n"/>
    </row>
    <row r="89">
      <c r="A89" s="20" t="n"/>
      <c r="B89" s="20" t="n"/>
      <c r="C89" s="20" t="n"/>
      <c r="D89" s="20" t="n"/>
      <c r="E89" s="26" t="n"/>
      <c r="F89" s="26" t="n"/>
      <c r="G89" s="20" t="n"/>
      <c r="H89" s="20" t="n"/>
      <c r="I89" s="20" t="n"/>
      <c r="J89" s="20" t="n"/>
    </row>
    <row r="90">
      <c r="A90" s="20" t="n"/>
      <c r="B90" s="20" t="n"/>
      <c r="C90" s="20" t="n"/>
      <c r="D90" s="20" t="n"/>
      <c r="E90" s="26" t="n"/>
      <c r="F90" s="26" t="n"/>
      <c r="G90" s="20" t="n"/>
      <c r="H90" s="20" t="n"/>
      <c r="I90" s="20" t="n"/>
      <c r="J90" s="20" t="n"/>
    </row>
    <row r="91">
      <c r="A91" s="20" t="n"/>
      <c r="B91" s="20" t="n"/>
      <c r="C91" s="20" t="n"/>
      <c r="D91" s="20" t="n"/>
      <c r="E91" s="26" t="n"/>
      <c r="F91" s="26" t="n"/>
      <c r="G91" s="20" t="n"/>
      <c r="H91" s="20" t="n"/>
      <c r="I91" s="20" t="n"/>
      <c r="J91" s="20" t="n"/>
    </row>
    <row r="92">
      <c r="A92" s="20" t="n"/>
      <c r="B92" s="20" t="n"/>
      <c r="C92" s="20" t="n"/>
      <c r="D92" s="20" t="n"/>
      <c r="E92" s="26" t="n"/>
      <c r="F92" s="26" t="n"/>
      <c r="G92" s="20" t="n"/>
      <c r="H92" s="20" t="n"/>
      <c r="I92" s="20" t="n"/>
      <c r="J92" s="20" t="n"/>
    </row>
    <row r="93">
      <c r="A93" s="20" t="n"/>
      <c r="B93" s="20" t="n"/>
      <c r="C93" s="20" t="n"/>
      <c r="D93" s="20" t="n"/>
      <c r="E93" s="26" t="n"/>
      <c r="F93" s="26" t="n"/>
      <c r="G93" s="20" t="n"/>
      <c r="H93" s="20" t="n"/>
      <c r="I93" s="20" t="n"/>
      <c r="J93" s="20" t="n"/>
    </row>
    <row r="94">
      <c r="A94" s="20" t="n"/>
      <c r="B94" s="20" t="n"/>
      <c r="C94" s="20" t="n"/>
      <c r="D94" s="20" t="n"/>
      <c r="E94" s="26" t="n"/>
      <c r="F94" s="26" t="n"/>
      <c r="G94" s="20" t="n"/>
      <c r="H94" s="20" t="n"/>
      <c r="I94" s="20" t="n"/>
      <c r="J94" s="20" t="n"/>
    </row>
    <row r="95">
      <c r="A95" s="20" t="n"/>
      <c r="B95" s="20" t="n"/>
      <c r="C95" s="20" t="n"/>
      <c r="D95" s="20" t="n"/>
      <c r="E95" s="26" t="n"/>
      <c r="F95" s="26" t="n"/>
      <c r="G95" s="20" t="n"/>
      <c r="H95" s="20" t="n"/>
      <c r="I95" s="20" t="n"/>
      <c r="J95" s="20" t="n"/>
    </row>
    <row r="96">
      <c r="A96" s="20" t="n"/>
      <c r="B96" s="20" t="n"/>
      <c r="C96" s="20" t="n"/>
      <c r="D96" s="20" t="n"/>
      <c r="E96" s="26" t="n"/>
      <c r="F96" s="26" t="n"/>
      <c r="G96" s="20" t="n"/>
      <c r="H96" s="20" t="n"/>
      <c r="I96" s="20" t="n"/>
      <c r="J96" s="20" t="n"/>
    </row>
    <row r="97">
      <c r="A97" s="20" t="n"/>
      <c r="B97" s="20" t="n"/>
      <c r="C97" s="20" t="n"/>
      <c r="D97" s="20" t="n"/>
      <c r="E97" s="26" t="n"/>
      <c r="F97" s="26" t="n"/>
      <c r="G97" s="20" t="n"/>
      <c r="H97" s="20" t="n"/>
      <c r="I97" s="20" t="n"/>
      <c r="J97" s="20" t="n"/>
    </row>
    <row r="98">
      <c r="A98" s="20" t="n"/>
      <c r="B98" s="20" t="n"/>
      <c r="C98" s="20" t="n"/>
      <c r="D98" s="20" t="n"/>
      <c r="E98" s="26" t="n"/>
      <c r="F98" s="26" t="n"/>
      <c r="G98" s="20" t="n"/>
      <c r="H98" s="20" t="n"/>
      <c r="I98" s="20" t="n"/>
      <c r="J98" s="20" t="n"/>
    </row>
    <row r="99">
      <c r="A99" s="20" t="n"/>
      <c r="B99" s="20" t="n"/>
      <c r="C99" s="20" t="n"/>
      <c r="D99" s="20" t="n"/>
      <c r="E99" s="26" t="n"/>
      <c r="F99" s="26" t="n"/>
      <c r="G99" s="20" t="n"/>
      <c r="H99" s="20" t="n"/>
      <c r="I99" s="20" t="n"/>
      <c r="J99" s="20" t="n"/>
    </row>
    <row r="100">
      <c r="A100" s="20" t="n"/>
      <c r="B100" s="20" t="n"/>
      <c r="C100" s="20" t="n"/>
      <c r="D100" s="20" t="n"/>
      <c r="E100" s="26" t="n"/>
      <c r="F100" s="26" t="n"/>
      <c r="G100" s="20" t="n"/>
      <c r="H100" s="20" t="n"/>
      <c r="I100" s="20" t="n"/>
      <c r="J100" s="20" t="n"/>
    </row>
    <row r="101">
      <c r="A101" s="20" t="n"/>
      <c r="B101" s="20" t="n"/>
      <c r="C101" s="20" t="n"/>
      <c r="D101" s="20" t="n"/>
      <c r="E101" s="26" t="n"/>
      <c r="F101" s="26" t="n"/>
      <c r="G101" s="20" t="n"/>
      <c r="H101" s="20" t="n"/>
      <c r="I101" s="20" t="n"/>
      <c r="J101" s="20" t="n"/>
    </row>
    <row r="102">
      <c r="A102" s="20" t="n"/>
      <c r="B102" s="20" t="n"/>
      <c r="C102" s="20" t="n"/>
      <c r="D102" s="20" t="n"/>
      <c r="E102" s="26" t="n"/>
      <c r="F102" s="26" t="n"/>
      <c r="G102" s="20" t="n"/>
      <c r="H102" s="20" t="n"/>
      <c r="I102" s="20" t="n"/>
      <c r="J102" s="20" t="n"/>
    </row>
    <row r="103">
      <c r="A103" s="20" t="n"/>
      <c r="B103" s="20" t="n"/>
      <c r="C103" s="20" t="n"/>
      <c r="D103" s="20" t="n"/>
      <c r="E103" s="26" t="n"/>
      <c r="F103" s="26" t="n"/>
      <c r="G103" s="20" t="n"/>
      <c r="H103" s="20" t="n"/>
      <c r="I103" s="20" t="n"/>
      <c r="J103" s="20" t="n"/>
    </row>
    <row r="104">
      <c r="A104" s="20" t="n"/>
      <c r="B104" s="20" t="n"/>
      <c r="C104" s="20" t="n"/>
      <c r="D104" s="20" t="n"/>
      <c r="E104" s="26" t="n"/>
      <c r="F104" s="26" t="n"/>
      <c r="G104" s="20" t="n"/>
      <c r="H104" s="20" t="n"/>
      <c r="I104" s="20" t="n"/>
      <c r="J104" s="20" t="n"/>
    </row>
    <row r="105">
      <c r="A105" s="20" t="n"/>
      <c r="B105" s="20" t="n"/>
      <c r="C105" s="20" t="n"/>
      <c r="D105" s="20" t="n"/>
      <c r="E105" s="26" t="n"/>
      <c r="F105" s="26" t="n"/>
      <c r="G105" s="20" t="n"/>
      <c r="H105" s="20" t="n"/>
      <c r="I105" s="20" t="n"/>
      <c r="J105" s="20" t="n"/>
    </row>
    <row r="106">
      <c r="A106" s="20" t="n"/>
      <c r="B106" s="20" t="n"/>
      <c r="C106" s="20" t="n"/>
      <c r="D106" s="20" t="n"/>
      <c r="E106" s="26" t="n"/>
      <c r="F106" s="26" t="n"/>
      <c r="G106" s="20" t="n"/>
      <c r="H106" s="20" t="n"/>
      <c r="I106" s="20" t="n"/>
      <c r="J106" s="20" t="n"/>
    </row>
    <row r="107">
      <c r="A107" s="20" t="n"/>
      <c r="B107" s="20" t="n"/>
      <c r="C107" s="20" t="n"/>
      <c r="D107" s="20" t="n"/>
      <c r="E107" s="26" t="n"/>
      <c r="F107" s="26" t="n"/>
      <c r="G107" s="20" t="n"/>
      <c r="H107" s="20" t="n"/>
      <c r="I107" s="20" t="n"/>
      <c r="J107" s="20" t="n"/>
    </row>
    <row r="108">
      <c r="A108" s="20" t="n"/>
      <c r="B108" s="20" t="n"/>
      <c r="C108" s="20" t="n"/>
      <c r="D108" s="20" t="n"/>
      <c r="E108" s="26" t="n"/>
      <c r="F108" s="26" t="n"/>
      <c r="G108" s="20" t="n"/>
      <c r="H108" s="20" t="n"/>
      <c r="I108" s="20" t="n"/>
      <c r="J108" s="20" t="n"/>
    </row>
    <row r="109">
      <c r="A109" s="20" t="n"/>
      <c r="B109" s="20" t="n"/>
      <c r="C109" s="20" t="n"/>
      <c r="D109" s="20" t="n"/>
      <c r="E109" s="26" t="n"/>
      <c r="F109" s="26" t="n"/>
      <c r="G109" s="20" t="n"/>
      <c r="H109" s="20" t="n"/>
      <c r="I109" s="20" t="n"/>
      <c r="J109" s="20" t="n"/>
    </row>
    <row r="110">
      <c r="A110" s="20" t="n"/>
      <c r="B110" s="20" t="n"/>
      <c r="C110" s="20" t="n"/>
      <c r="D110" s="20" t="n"/>
      <c r="E110" s="26" t="n"/>
      <c r="F110" s="26" t="n"/>
      <c r="G110" s="20" t="n"/>
      <c r="H110" s="20" t="n"/>
      <c r="I110" s="20" t="n"/>
      <c r="J110" s="20" t="n"/>
    </row>
    <row r="111">
      <c r="A111" s="20" t="n"/>
      <c r="B111" s="20" t="n"/>
      <c r="C111" s="20" t="n"/>
      <c r="D111" s="20" t="n"/>
      <c r="E111" s="26" t="n"/>
      <c r="F111" s="26" t="n"/>
      <c r="G111" s="20" t="n"/>
      <c r="H111" s="20" t="n"/>
      <c r="I111" s="20" t="n"/>
      <c r="J111" s="20" t="n"/>
    </row>
    <row r="112">
      <c r="A112" s="20" t="n"/>
      <c r="B112" s="20" t="n"/>
      <c r="C112" s="20" t="n"/>
      <c r="D112" s="20" t="n"/>
      <c r="E112" s="26" t="n"/>
      <c r="F112" s="26" t="n"/>
      <c r="G112" s="20" t="n"/>
      <c r="H112" s="20" t="n"/>
      <c r="I112" s="20" t="n"/>
      <c r="J112" s="20" t="n"/>
    </row>
    <row r="113">
      <c r="A113" s="20" t="n"/>
      <c r="B113" s="20" t="n"/>
      <c r="C113" s="20" t="n"/>
      <c r="D113" s="20" t="n"/>
      <c r="E113" s="26" t="n"/>
      <c r="F113" s="26" t="n"/>
      <c r="G113" s="20" t="n"/>
      <c r="H113" s="20" t="n"/>
      <c r="I113" s="20" t="n"/>
      <c r="J113" s="20" t="n"/>
    </row>
    <row r="114">
      <c r="A114" s="20" t="n"/>
      <c r="B114" s="20" t="n"/>
      <c r="C114" s="20" t="n"/>
      <c r="D114" s="20" t="n"/>
      <c r="E114" s="26" t="n"/>
      <c r="F114" s="26" t="n"/>
      <c r="G114" s="20" t="n"/>
      <c r="H114" s="20" t="n"/>
      <c r="I114" s="20" t="n"/>
      <c r="J114" s="20" t="n"/>
    </row>
    <row r="115">
      <c r="A115" s="20" t="n"/>
      <c r="B115" s="20" t="n"/>
      <c r="C115" s="20" t="n"/>
      <c r="D115" s="20" t="n"/>
      <c r="E115" s="26" t="n"/>
      <c r="F115" s="26" t="n"/>
      <c r="G115" s="20" t="n"/>
      <c r="H115" s="20" t="n"/>
      <c r="I115" s="20" t="n"/>
      <c r="J115" s="20" t="n"/>
    </row>
    <row r="116">
      <c r="A116" s="20" t="n"/>
      <c r="B116" s="20" t="n"/>
      <c r="C116" s="20" t="n"/>
      <c r="D116" s="20" t="n"/>
      <c r="E116" s="26" t="n"/>
      <c r="F116" s="26" t="n"/>
      <c r="G116" s="20" t="n"/>
      <c r="H116" s="20" t="n"/>
      <c r="I116" s="20" t="n"/>
      <c r="J116" s="20" t="n"/>
    </row>
    <row r="117">
      <c r="A117" s="20" t="n"/>
      <c r="B117" s="20" t="n"/>
      <c r="C117" s="20" t="n"/>
      <c r="D117" s="20" t="n"/>
      <c r="E117" s="26" t="n"/>
      <c r="F117" s="26" t="n"/>
      <c r="G117" s="20" t="n"/>
      <c r="H117" s="20" t="n"/>
      <c r="I117" s="20" t="n"/>
      <c r="J117" s="20" t="n"/>
    </row>
    <row r="118">
      <c r="A118" s="20" t="n"/>
      <c r="B118" s="20" t="n"/>
      <c r="C118" s="20" t="n"/>
      <c r="D118" s="20" t="n"/>
      <c r="E118" s="26" t="n"/>
      <c r="F118" s="26" t="n"/>
      <c r="G118" s="20" t="n"/>
      <c r="H118" s="20" t="n"/>
      <c r="I118" s="20" t="n"/>
      <c r="J118" s="20" t="n"/>
    </row>
    <row r="119">
      <c r="A119" s="20" t="n"/>
      <c r="B119" s="20" t="n"/>
      <c r="C119" s="20" t="n"/>
      <c r="D119" s="20" t="n"/>
      <c r="E119" s="26" t="n"/>
      <c r="F119" s="26" t="n"/>
      <c r="G119" s="20" t="n"/>
      <c r="H119" s="20" t="n"/>
      <c r="I119" s="20" t="n"/>
      <c r="J119" s="20" t="n"/>
    </row>
    <row r="120">
      <c r="A120" s="20" t="n"/>
      <c r="B120" s="20" t="n"/>
      <c r="C120" s="20" t="n"/>
      <c r="D120" s="20" t="n"/>
      <c r="E120" s="26" t="n"/>
      <c r="F120" s="26" t="n"/>
      <c r="G120" s="20" t="n"/>
      <c r="H120" s="20" t="n"/>
      <c r="I120" s="20" t="n"/>
      <c r="J120" s="20" t="n"/>
    </row>
    <row r="121">
      <c r="A121" s="20" t="n"/>
      <c r="B121" s="20" t="n"/>
      <c r="C121" s="20" t="n"/>
      <c r="D121" s="20" t="n"/>
      <c r="E121" s="26" t="n"/>
      <c r="F121" s="26" t="n"/>
      <c r="G121" s="20" t="n"/>
      <c r="H121" s="20" t="n"/>
      <c r="I121" s="20" t="n"/>
      <c r="J121" s="20" t="n"/>
    </row>
    <row r="122">
      <c r="A122" s="20" t="n"/>
      <c r="B122" s="20" t="n"/>
      <c r="C122" s="20" t="n"/>
      <c r="D122" s="20" t="n"/>
      <c r="E122" s="26" t="n"/>
      <c r="F122" s="26" t="n"/>
      <c r="G122" s="20" t="n"/>
      <c r="H122" s="20" t="n"/>
      <c r="I122" s="20" t="n"/>
      <c r="J122" s="20" t="n"/>
    </row>
    <row r="123">
      <c r="A123" s="20" t="n"/>
      <c r="B123" s="20" t="n"/>
      <c r="C123" s="20" t="n"/>
      <c r="D123" s="20" t="n"/>
      <c r="E123" s="26" t="n"/>
      <c r="F123" s="26" t="n"/>
      <c r="G123" s="20" t="n"/>
      <c r="H123" s="20" t="n"/>
      <c r="I123" s="20" t="n"/>
      <c r="J123" s="20" t="n"/>
    </row>
    <row r="124">
      <c r="A124" s="20" t="n"/>
      <c r="B124" s="20" t="n"/>
      <c r="C124" s="20" t="n"/>
      <c r="D124" s="20" t="n"/>
      <c r="E124" s="26" t="n"/>
      <c r="F124" s="26" t="n"/>
      <c r="G124" s="20" t="n"/>
      <c r="H124" s="20" t="n"/>
      <c r="I124" s="20" t="n"/>
      <c r="J124" s="20" t="n"/>
    </row>
    <row r="125">
      <c r="A125" s="20" t="n"/>
      <c r="B125" s="20" t="n"/>
      <c r="C125" s="20" t="n"/>
      <c r="D125" s="20" t="n"/>
      <c r="E125" s="26" t="n"/>
      <c r="F125" s="26" t="n"/>
      <c r="G125" s="20" t="n"/>
      <c r="H125" s="20" t="n"/>
      <c r="I125" s="20" t="n"/>
      <c r="J125" s="20" t="n"/>
    </row>
    <row r="126">
      <c r="A126" s="20" t="n"/>
      <c r="B126" s="20" t="n"/>
      <c r="C126" s="20" t="n"/>
      <c r="D126" s="20" t="n"/>
      <c r="E126" s="26" t="n"/>
      <c r="F126" s="26" t="n"/>
      <c r="G126" s="20" t="n"/>
      <c r="H126" s="20" t="n"/>
      <c r="I126" s="20" t="n"/>
      <c r="J126" s="20" t="n"/>
    </row>
    <row r="127">
      <c r="A127" s="20" t="n"/>
      <c r="B127" s="20" t="n"/>
      <c r="C127" s="20" t="n"/>
      <c r="D127" s="20" t="n"/>
      <c r="E127" s="26" t="n"/>
      <c r="F127" s="26" t="n"/>
      <c r="G127" s="20" t="n"/>
      <c r="H127" s="20" t="n"/>
      <c r="I127" s="20" t="n"/>
      <c r="J127" s="20" t="n"/>
    </row>
    <row r="128">
      <c r="A128" s="20" t="n"/>
      <c r="B128" s="20" t="n"/>
      <c r="C128" s="20" t="n"/>
      <c r="D128" s="20" t="n"/>
      <c r="E128" s="26" t="n"/>
      <c r="F128" s="26" t="n"/>
      <c r="G128" s="20" t="n"/>
      <c r="H128" s="20" t="n"/>
      <c r="I128" s="20" t="n"/>
      <c r="J128" s="20" t="n"/>
    </row>
    <row r="129">
      <c r="A129" s="20" t="n"/>
      <c r="B129" s="20" t="n"/>
      <c r="C129" s="20" t="n"/>
      <c r="D129" s="20" t="n"/>
      <c r="E129" s="26" t="n"/>
      <c r="F129" s="26" t="n"/>
      <c r="G129" s="20" t="n"/>
      <c r="H129" s="20" t="n"/>
      <c r="I129" s="20" t="n"/>
      <c r="J129" s="20" t="n"/>
    </row>
  </sheetData>
  <conditionalFormatting sqref="I2:I200">
    <cfRule type="expression" priority="1" dxfId="0">
      <formula>$I2="Pendiente"</formula>
    </cfRule>
  </conditionalFormatting>
  <dataValidations count="1">
    <dataValidation sqref="I2:I200" showDropDown="0" showInputMessage="0" showErrorMessage="0" allowBlank="0" type="list">
      <formula1>"Confirmado,Referencia,Pendiente"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8" customWidth="1" min="4" max="4"/>
    <col width="24" customWidth="1" min="5" max="5"/>
  </cols>
  <sheetData>
    <row r="1">
      <c r="A1" s="1" t="inlineStr">
        <is>
          <t>OPCIONES Y ALTERNATIVAS</t>
        </is>
      </c>
    </row>
    <row r="2">
      <c r="A2" s="2" t="inlineStr">
        <is>
          <t>Complete los precios en amarillo para comparar.</t>
        </is>
      </c>
    </row>
    <row r="4">
      <c r="A4" s="3" t="inlineStr">
        <is>
          <t>Opcion de vidrio</t>
        </is>
      </c>
      <c r="B4" s="3" t="inlineStr">
        <is>
          <t>Area (m2)</t>
        </is>
      </c>
      <c r="C4" s="3" t="inlineStr">
        <is>
          <t>Costo por m2</t>
        </is>
      </c>
      <c r="D4" s="3" t="inlineStr">
        <is>
          <t>Costo total</t>
        </is>
      </c>
      <c r="E4" s="3" t="inlineStr">
        <is>
          <t>Venta total (margen objetivo)</t>
        </is>
      </c>
    </row>
    <row r="5">
      <c r="A5" t="inlineStr">
        <is>
          <t>A. Serigrafia / pelicula negra y blanca (incluye vidrio)</t>
        </is>
      </c>
      <c r="B5" s="15">
        <f>Calculo_Vidrio!H13</f>
        <v/>
      </c>
      <c r="C5" s="26" t="n">
        <v>345000</v>
      </c>
      <c r="D5" s="4">
        <f>B5*N(C5)</f>
        <v/>
      </c>
      <c r="E5" s="4">
        <f>D5/(1-Proyecto!$B$9)</f>
        <v/>
      </c>
    </row>
    <row r="6">
      <c r="A6" t="inlineStr">
        <is>
          <t>B. Pelicula matizada (precio por m2 pendiente)</t>
        </is>
      </c>
      <c r="B6" s="15">
        <f>Calculo_Vidrio!H13</f>
        <v/>
      </c>
      <c r="C6" s="26" t="n"/>
      <c r="D6" s="4">
        <f>B6*N(C6)</f>
        <v/>
      </c>
      <c r="E6" s="4">
        <f>D6/(1-Proyecto!$B$9)</f>
        <v/>
      </c>
    </row>
    <row r="7">
      <c r="A7" t="inlineStr">
        <is>
          <t>C. Opacado electronico (precio por m2 pendiente)</t>
        </is>
      </c>
      <c r="B7" s="15">
        <f>Calculo_Vidrio!H13</f>
        <v/>
      </c>
      <c r="C7" s="26" t="n"/>
      <c r="D7" s="4">
        <f>B7*N(C7)</f>
        <v/>
      </c>
      <c r="E7" s="4">
        <f>D7/(1-Proyecto!$B$9)</f>
        <v/>
      </c>
    </row>
    <row r="9">
      <c r="A9" t="inlineStr">
        <is>
          <t>Mas instalacion del vidrio (igual en todas las opciones): =</t>
        </is>
      </c>
      <c r="D9" s="4">
        <f>Calculo_Vidrio!H13*80000</f>
        <v/>
      </c>
    </row>
    <row r="12">
      <c r="A12" s="3" t="inlineStr">
        <is>
          <t>Tapas: madera vs vidrio</t>
        </is>
      </c>
      <c r="B12" s="3" t="inlineStr">
        <is>
          <t>Area 1 capa (m2)</t>
        </is>
      </c>
      <c r="C12" s="3" t="inlineStr">
        <is>
          <t>Costo por m2 / unidad</t>
        </is>
      </c>
      <c r="D12" s="3" t="inlineStr">
        <is>
          <t>Costo total</t>
        </is>
      </c>
      <c r="E12" s="3" t="inlineStr"/>
    </row>
    <row r="13">
      <c r="A13" t="inlineStr">
        <is>
          <t>Madera sandwich 15+15 (hojas + canto)</t>
        </is>
      </c>
      <c r="B13" s="15">
        <f>Cortes_Tablero!E19</f>
        <v/>
      </c>
      <c r="D13" s="4">
        <f>Cortes_Tablero!B22*450000+Cortes_Tablero!D19*9500</f>
        <v/>
      </c>
    </row>
    <row r="14">
      <c r="A14" t="inlineStr">
        <is>
          <t>Vidrio templado 10 mm (referencia $150.000/m2, sin pulido ni orificios)</t>
        </is>
      </c>
      <c r="B14" s="15">
        <f>Cortes_Tablero!E19</f>
        <v/>
      </c>
      <c r="C14" s="26" t="n">
        <v>150000</v>
      </c>
      <c r="D14" s="4">
        <f>B14*C14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SUPUESTOS (revisar):</t>
        </is>
      </c>
    </row>
    <row r="2">
      <c r="A2" t="inlineStr">
        <is>
          <t>1. Longitudes de vidrio leidas del plano con las cotas visibles; 137 y 156 cm = ancho total del vano de cada puerta corrediza.</t>
        </is>
      </c>
    </row>
    <row r="3">
      <c r="A3" t="inlineStr">
        <is>
          <t>2. Altura de puertas 2.10 m; el resto hasta 2.42 m es vidrio fijo sobre la puerta.</t>
        </is>
      </c>
    </row>
    <row r="4">
      <c r="A4" t="inlineStr">
        <is>
          <t>3. Serigrafia/pelicula al 100% del vidrio (incluye hojas de puerta y vidrio sobre puertas) a $345.000/m2.</t>
        </is>
      </c>
    </row>
    <row r="5">
      <c r="A5" t="inlineStr">
        <is>
          <t>4. Perfil L 1x1: un angulo por cada cara del vidrio, en piso y techo.</t>
        </is>
      </c>
    </row>
    <row r="6">
      <c r="A6" t="inlineStr">
        <is>
          <t>5. Margen 45% = utilidad bruta sobre precio de venta (Venta = Costo / 0.55). Las sillas, sofa y mesa conservan su precio de venta.</t>
        </is>
      </c>
    </row>
    <row r="7">
      <c r="A7" t="inlineStr">
        <is>
          <t>6. Escritorio admin: 1.50x1.50 con 60 cm; gerencia: frente 1.70x0.75 + retorno 0.95x0.60; juntas 1.76x1.15; isla 6 tapas de 1.37x0.60.</t>
        </is>
      </c>
    </row>
    <row r="8">
      <c r="A8" t="inlineStr">
        <is>
          <t>7. Tapas en madera: 2 capas de 15 mm; canto rigido en todos los bordes de cada tapa; optimizacion con sierra de 4 mm y rotacion permitida.</t>
        </is>
      </c>
    </row>
    <row r="9">
      <c r="A9" t="inlineStr">
        <is>
          <t>8. Estructura metalica: perimetro bajo la tapa + 4 patas de 70 cm + travesanos; barras de 6 m.</t>
        </is>
      </c>
    </row>
    <row r="10">
      <c r="A10" s="6" t="inlineStr"/>
    </row>
    <row r="11">
      <c r="A11" t="inlineStr">
        <is>
          <t>PRECIOS QUE FALTAN (no se pudieron consultar: este entorno no accede a Homecenter ni Mercado Libre):</t>
        </is>
      </c>
    </row>
    <row r="12">
      <c r="A12" t="inlineStr">
        <is>
          <t>Perfil L 1x1 aluminio, silicona, marco de aluminio de puertas, sistema corredizo, bisagras, manijas, topes, chapa pico de loro, pasador,</t>
        </is>
      </c>
    </row>
    <row r="13">
      <c r="A13" t="inlineStr">
        <is>
          <t>tubo cuadrado 2x2 cal. 18, pintura electrostatica, archivadores 2x1, canaletas/cableado de isla, sillas interlocutoras (6), pelicula matizada y opacado electronico.</t>
        </is>
      </c>
    </row>
    <row r="14">
      <c r="A14" s="6" t="inlineStr"/>
    </row>
    <row r="15">
      <c r="A15" t="inlineStr">
        <is>
          <t>PREGUNTAS ABIERTAS:</t>
        </is>
      </c>
    </row>
    <row r="16">
      <c r="A16" t="inlineStr">
        <is>
          <t>a) El 45% es margen sobre precio de venta (como esta) o recargo sobre costo?</t>
        </is>
      </c>
    </row>
    <row r="17">
      <c r="A17" t="inlineStr">
        <is>
          <t>b) La serigrafia cubre todo el vidrio o solo una franja? El $345.000/m2 es costo?</t>
        </is>
      </c>
    </row>
    <row r="18">
      <c r="A18" t="inlineStr">
        <is>
          <t>c) Las sillas interlocutoras: costo y precio de venta? Las 'sillas administrativas' ya incluyen las interlocutoras?</t>
        </is>
      </c>
    </row>
    <row r="19">
      <c r="A19" t="inlineStr">
        <is>
          <t>d) Altura real de las puertas y como se fijan las corredizas (riel superior sobre el vidrio fijo?).</t>
        </is>
      </c>
    </row>
    <row r="20">
      <c r="A20" t="inlineStr">
        <is>
          <t>e) Cuantos archivadores 2x1 y que precio; que lleva la canaleta de la isla.</t>
        </is>
      </c>
    </row>
    <row r="21">
      <c r="A21" t="inlineStr">
        <is>
          <t>f) Madera: tiene veta/dibujo que impida rotar piezas? Se arma la capa inferior con retales?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6" customWidth="1" min="4" max="4"/>
    <col width="16" customWidth="1" min="5" max="5"/>
  </cols>
  <sheetData>
    <row r="1">
      <c r="A1" s="3" t="inlineStr">
        <is>
          <t>Order Lines/Product</t>
        </is>
      </c>
      <c r="B1" s="3" t="inlineStr">
        <is>
          <t>Order Lines/Description</t>
        </is>
      </c>
      <c r="C1" s="3" t="inlineStr">
        <is>
          <t>Order Lines/Quantity</t>
        </is>
      </c>
      <c r="D1" s="3" t="inlineStr">
        <is>
          <t>Order Lines/Unit Price</t>
        </is>
      </c>
      <c r="E1" s="3" t="inlineStr">
        <is>
          <t>Order Lines/Unit of Measure</t>
        </is>
      </c>
      <c r="G1" t="inlineStr">
        <is>
          <t>Borrador: ajustar columnas al exportar una cotizacion de ejemplo de su Odoo. Filtrar filas vacias antes de importar.</t>
        </is>
      </c>
    </row>
    <row r="2">
      <c r="A2">
        <f>IF(Presupuesto!B2="","",Presupuesto!B2)</f>
        <v/>
      </c>
      <c r="B2">
        <f>IF(Presupuesto!B2="","",Presupuesto!C2)</f>
        <v/>
      </c>
      <c r="C2">
        <f>IF(Presupuesto!B2="","",Presupuesto!E2)</f>
        <v/>
      </c>
      <c r="D2">
        <f>IF(Presupuesto!B2="","",Presupuesto!G2)</f>
        <v/>
      </c>
      <c r="E2">
        <f>IF(Presupuesto!B2="","",Presupuesto!D2)</f>
        <v/>
      </c>
    </row>
    <row r="3">
      <c r="A3">
        <f>IF(Presupuesto!B3="","",Presupuesto!B3)</f>
        <v/>
      </c>
      <c r="B3">
        <f>IF(Presupuesto!B3="","",Presupuesto!C3)</f>
        <v/>
      </c>
      <c r="C3">
        <f>IF(Presupuesto!B3="","",Presupuesto!E3)</f>
        <v/>
      </c>
      <c r="D3">
        <f>IF(Presupuesto!B3="","",Presupuesto!G3)</f>
        <v/>
      </c>
      <c r="E3">
        <f>IF(Presupuesto!B3="","",Presupuesto!D3)</f>
        <v/>
      </c>
    </row>
    <row r="4">
      <c r="A4">
        <f>IF(Presupuesto!B4="","",Presupuesto!B4)</f>
        <v/>
      </c>
      <c r="B4">
        <f>IF(Presupuesto!B4="","",Presupuesto!C4)</f>
        <v/>
      </c>
      <c r="C4">
        <f>IF(Presupuesto!B4="","",Presupuesto!E4)</f>
        <v/>
      </c>
      <c r="D4">
        <f>IF(Presupuesto!B4="","",Presupuesto!G4)</f>
        <v/>
      </c>
      <c r="E4">
        <f>IF(Presupuesto!B4="","",Presupuesto!D4)</f>
        <v/>
      </c>
    </row>
    <row r="5">
      <c r="A5">
        <f>IF(Presupuesto!B5="","",Presupuesto!B5)</f>
        <v/>
      </c>
      <c r="B5">
        <f>IF(Presupuesto!B5="","",Presupuesto!C5)</f>
        <v/>
      </c>
      <c r="C5">
        <f>IF(Presupuesto!B5="","",Presupuesto!E5)</f>
        <v/>
      </c>
      <c r="D5">
        <f>IF(Presupuesto!B5="","",Presupuesto!G5)</f>
        <v/>
      </c>
      <c r="E5">
        <f>IF(Presupuesto!B5="","",Presupuesto!D5)</f>
        <v/>
      </c>
    </row>
    <row r="6">
      <c r="A6">
        <f>IF(Presupuesto!B6="","",Presupuesto!B6)</f>
        <v/>
      </c>
      <c r="B6">
        <f>IF(Presupuesto!B6="","",Presupuesto!C6)</f>
        <v/>
      </c>
      <c r="C6">
        <f>IF(Presupuesto!B6="","",Presupuesto!E6)</f>
        <v/>
      </c>
      <c r="D6">
        <f>IF(Presupuesto!B6="","",Presupuesto!G6)</f>
        <v/>
      </c>
      <c r="E6">
        <f>IF(Presupuesto!B6="","",Presupuesto!D6)</f>
        <v/>
      </c>
    </row>
    <row r="7">
      <c r="A7">
        <f>IF(Presupuesto!B7="","",Presupuesto!B7)</f>
        <v/>
      </c>
      <c r="B7">
        <f>IF(Presupuesto!B7="","",Presupuesto!C7)</f>
        <v/>
      </c>
      <c r="C7">
        <f>IF(Presupuesto!B7="","",Presupuesto!E7)</f>
        <v/>
      </c>
      <c r="D7">
        <f>IF(Presupuesto!B7="","",Presupuesto!G7)</f>
        <v/>
      </c>
      <c r="E7">
        <f>IF(Presupuesto!B7="","",Presupuesto!D7)</f>
        <v/>
      </c>
    </row>
    <row r="8">
      <c r="A8">
        <f>IF(Presupuesto!B8="","",Presupuesto!B8)</f>
        <v/>
      </c>
      <c r="B8">
        <f>IF(Presupuesto!B8="","",Presupuesto!C8)</f>
        <v/>
      </c>
      <c r="C8">
        <f>IF(Presupuesto!B8="","",Presupuesto!E8)</f>
        <v/>
      </c>
      <c r="D8">
        <f>IF(Presupuesto!B8="","",Presupuesto!G8)</f>
        <v/>
      </c>
      <c r="E8">
        <f>IF(Presupuesto!B8="","",Presupuesto!D8)</f>
        <v/>
      </c>
    </row>
    <row r="9">
      <c r="A9">
        <f>IF(Presupuesto!B9="","",Presupuesto!B9)</f>
        <v/>
      </c>
      <c r="B9">
        <f>IF(Presupuesto!B9="","",Presupuesto!C9)</f>
        <v/>
      </c>
      <c r="C9">
        <f>IF(Presupuesto!B9="","",Presupuesto!E9)</f>
        <v/>
      </c>
      <c r="D9">
        <f>IF(Presupuesto!B9="","",Presupuesto!G9)</f>
        <v/>
      </c>
      <c r="E9">
        <f>IF(Presupuesto!B9="","",Presupuesto!D9)</f>
        <v/>
      </c>
    </row>
    <row r="10">
      <c r="A10">
        <f>IF(Presupuesto!B10="","",Presupuesto!B10)</f>
        <v/>
      </c>
      <c r="B10">
        <f>IF(Presupuesto!B10="","",Presupuesto!C10)</f>
        <v/>
      </c>
      <c r="C10">
        <f>IF(Presupuesto!B10="","",Presupuesto!E10)</f>
        <v/>
      </c>
      <c r="D10">
        <f>IF(Presupuesto!B10="","",Presupuesto!G10)</f>
        <v/>
      </c>
      <c r="E10">
        <f>IF(Presupuesto!B10="","",Presupuesto!D10)</f>
        <v/>
      </c>
    </row>
    <row r="11">
      <c r="A11">
        <f>IF(Presupuesto!B11="","",Presupuesto!B11)</f>
        <v/>
      </c>
      <c r="B11">
        <f>IF(Presupuesto!B11="","",Presupuesto!C11)</f>
        <v/>
      </c>
      <c r="C11">
        <f>IF(Presupuesto!B11="","",Presupuesto!E11)</f>
        <v/>
      </c>
      <c r="D11">
        <f>IF(Presupuesto!B11="","",Presupuesto!G11)</f>
        <v/>
      </c>
      <c r="E11">
        <f>IF(Presupuesto!B11="","",Presupuesto!D11)</f>
        <v/>
      </c>
    </row>
    <row r="12">
      <c r="A12">
        <f>IF(Presupuesto!B12="","",Presupuesto!B12)</f>
        <v/>
      </c>
      <c r="B12">
        <f>IF(Presupuesto!B12="","",Presupuesto!C12)</f>
        <v/>
      </c>
      <c r="C12">
        <f>IF(Presupuesto!B12="","",Presupuesto!E12)</f>
        <v/>
      </c>
      <c r="D12">
        <f>IF(Presupuesto!B12="","",Presupuesto!G12)</f>
        <v/>
      </c>
      <c r="E12">
        <f>IF(Presupuesto!B12="","",Presupuesto!D12)</f>
        <v/>
      </c>
    </row>
    <row r="13">
      <c r="A13">
        <f>IF(Presupuesto!B13="","",Presupuesto!B13)</f>
        <v/>
      </c>
      <c r="B13">
        <f>IF(Presupuesto!B13="","",Presupuesto!C13)</f>
        <v/>
      </c>
      <c r="C13">
        <f>IF(Presupuesto!B13="","",Presupuesto!E13)</f>
        <v/>
      </c>
      <c r="D13">
        <f>IF(Presupuesto!B13="","",Presupuesto!G13)</f>
        <v/>
      </c>
      <c r="E13">
        <f>IF(Presupuesto!B13="","",Presupuesto!D13)</f>
        <v/>
      </c>
    </row>
    <row r="14">
      <c r="A14">
        <f>IF(Presupuesto!B14="","",Presupuesto!B14)</f>
        <v/>
      </c>
      <c r="B14">
        <f>IF(Presupuesto!B14="","",Presupuesto!C14)</f>
        <v/>
      </c>
      <c r="C14">
        <f>IF(Presupuesto!B14="","",Presupuesto!E14)</f>
        <v/>
      </c>
      <c r="D14">
        <f>IF(Presupuesto!B14="","",Presupuesto!G14)</f>
        <v/>
      </c>
      <c r="E14">
        <f>IF(Presupuesto!B14="","",Presupuesto!D14)</f>
        <v/>
      </c>
    </row>
    <row r="15">
      <c r="A15">
        <f>IF(Presupuesto!B15="","",Presupuesto!B15)</f>
        <v/>
      </c>
      <c r="B15">
        <f>IF(Presupuesto!B15="","",Presupuesto!C15)</f>
        <v/>
      </c>
      <c r="C15">
        <f>IF(Presupuesto!B15="","",Presupuesto!E15)</f>
        <v/>
      </c>
      <c r="D15">
        <f>IF(Presupuesto!B15="","",Presupuesto!G15)</f>
        <v/>
      </c>
      <c r="E15">
        <f>IF(Presupuesto!B15="","",Presupuesto!D15)</f>
        <v/>
      </c>
    </row>
    <row r="16">
      <c r="A16">
        <f>IF(Presupuesto!B16="","",Presupuesto!B16)</f>
        <v/>
      </c>
      <c r="B16">
        <f>IF(Presupuesto!B16="","",Presupuesto!C16)</f>
        <v/>
      </c>
      <c r="C16">
        <f>IF(Presupuesto!B16="","",Presupuesto!E16)</f>
        <v/>
      </c>
      <c r="D16">
        <f>IF(Presupuesto!B16="","",Presupuesto!G16)</f>
        <v/>
      </c>
      <c r="E16">
        <f>IF(Presupuesto!B16="","",Presupuesto!D16)</f>
        <v/>
      </c>
    </row>
    <row r="17">
      <c r="A17">
        <f>IF(Presupuesto!B17="","",Presupuesto!B17)</f>
        <v/>
      </c>
      <c r="B17">
        <f>IF(Presupuesto!B17="","",Presupuesto!C17)</f>
        <v/>
      </c>
      <c r="C17">
        <f>IF(Presupuesto!B17="","",Presupuesto!E17)</f>
        <v/>
      </c>
      <c r="D17">
        <f>IF(Presupuesto!B17="","",Presupuesto!G17)</f>
        <v/>
      </c>
      <c r="E17">
        <f>IF(Presupuesto!B17="","",Presupuesto!D17)</f>
        <v/>
      </c>
    </row>
    <row r="18">
      <c r="A18">
        <f>IF(Presupuesto!B18="","",Presupuesto!B18)</f>
        <v/>
      </c>
      <c r="B18">
        <f>IF(Presupuesto!B18="","",Presupuesto!C18)</f>
        <v/>
      </c>
      <c r="C18">
        <f>IF(Presupuesto!B18="","",Presupuesto!E18)</f>
        <v/>
      </c>
      <c r="D18">
        <f>IF(Presupuesto!B18="","",Presupuesto!G18)</f>
        <v/>
      </c>
      <c r="E18">
        <f>IF(Presupuesto!B18="","",Presupuesto!D18)</f>
        <v/>
      </c>
    </row>
    <row r="19">
      <c r="A19">
        <f>IF(Presupuesto!B19="","",Presupuesto!B19)</f>
        <v/>
      </c>
      <c r="B19">
        <f>IF(Presupuesto!B19="","",Presupuesto!C19)</f>
        <v/>
      </c>
      <c r="C19">
        <f>IF(Presupuesto!B19="","",Presupuesto!E19)</f>
        <v/>
      </c>
      <c r="D19">
        <f>IF(Presupuesto!B19="","",Presupuesto!G19)</f>
        <v/>
      </c>
      <c r="E19">
        <f>IF(Presupuesto!B19="","",Presupuesto!D19)</f>
        <v/>
      </c>
    </row>
    <row r="20">
      <c r="A20">
        <f>IF(Presupuesto!B20="","",Presupuesto!B20)</f>
        <v/>
      </c>
      <c r="B20">
        <f>IF(Presupuesto!B20="","",Presupuesto!C20)</f>
        <v/>
      </c>
      <c r="C20">
        <f>IF(Presupuesto!B20="","",Presupuesto!E20)</f>
        <v/>
      </c>
      <c r="D20">
        <f>IF(Presupuesto!B20="","",Presupuesto!G20)</f>
        <v/>
      </c>
      <c r="E20">
        <f>IF(Presupuesto!B20="","",Presupuesto!D20)</f>
        <v/>
      </c>
    </row>
    <row r="21">
      <c r="A21">
        <f>IF(Presupuesto!B21="","",Presupuesto!B21)</f>
        <v/>
      </c>
      <c r="B21">
        <f>IF(Presupuesto!B21="","",Presupuesto!C21)</f>
        <v/>
      </c>
      <c r="C21">
        <f>IF(Presupuesto!B21="","",Presupuesto!E21)</f>
        <v/>
      </c>
      <c r="D21">
        <f>IF(Presupuesto!B21="","",Presupuesto!G21)</f>
        <v/>
      </c>
      <c r="E21">
        <f>IF(Presupuesto!B21="","",Presupuesto!D21)</f>
        <v/>
      </c>
    </row>
    <row r="22">
      <c r="A22">
        <f>IF(Presupuesto!B22="","",Presupuesto!B22)</f>
        <v/>
      </c>
      <c r="B22">
        <f>IF(Presupuesto!B22="","",Presupuesto!C22)</f>
        <v/>
      </c>
      <c r="C22">
        <f>IF(Presupuesto!B22="","",Presupuesto!E22)</f>
        <v/>
      </c>
      <c r="D22">
        <f>IF(Presupuesto!B22="","",Presupuesto!G22)</f>
        <v/>
      </c>
      <c r="E22">
        <f>IF(Presupuesto!B22="","",Presupuesto!D22)</f>
        <v/>
      </c>
    </row>
    <row r="23">
      <c r="A23">
        <f>IF(Presupuesto!B23="","",Presupuesto!B23)</f>
        <v/>
      </c>
      <c r="B23">
        <f>IF(Presupuesto!B23="","",Presupuesto!C23)</f>
        <v/>
      </c>
      <c r="C23">
        <f>IF(Presupuesto!B23="","",Presupuesto!E23)</f>
        <v/>
      </c>
      <c r="D23">
        <f>IF(Presupuesto!B23="","",Presupuesto!G23)</f>
        <v/>
      </c>
      <c r="E23">
        <f>IF(Presupuesto!B23="","",Presupuesto!D23)</f>
        <v/>
      </c>
    </row>
    <row r="24">
      <c r="A24">
        <f>IF(Presupuesto!B24="","",Presupuesto!B24)</f>
        <v/>
      </c>
      <c r="B24">
        <f>IF(Presupuesto!B24="","",Presupuesto!C24)</f>
        <v/>
      </c>
      <c r="C24">
        <f>IF(Presupuesto!B24="","",Presupuesto!E24)</f>
        <v/>
      </c>
      <c r="D24">
        <f>IF(Presupuesto!B24="","",Presupuesto!G24)</f>
        <v/>
      </c>
      <c r="E24">
        <f>IF(Presupuesto!B24="","",Presupuesto!D24)</f>
        <v/>
      </c>
    </row>
    <row r="25">
      <c r="A25">
        <f>IF(Presupuesto!B25="","",Presupuesto!B25)</f>
        <v/>
      </c>
      <c r="B25">
        <f>IF(Presupuesto!B25="","",Presupuesto!C25)</f>
        <v/>
      </c>
      <c r="C25">
        <f>IF(Presupuesto!B25="","",Presupuesto!E25)</f>
        <v/>
      </c>
      <c r="D25">
        <f>IF(Presupuesto!B25="","",Presupuesto!G25)</f>
        <v/>
      </c>
      <c r="E25">
        <f>IF(Presupuesto!B25="","",Presupuesto!D25)</f>
        <v/>
      </c>
    </row>
    <row r="26">
      <c r="A26">
        <f>IF(Presupuesto!B26="","",Presupuesto!B26)</f>
        <v/>
      </c>
      <c r="B26">
        <f>IF(Presupuesto!B26="","",Presupuesto!C26)</f>
        <v/>
      </c>
      <c r="C26">
        <f>IF(Presupuesto!B26="","",Presupuesto!E26)</f>
        <v/>
      </c>
      <c r="D26">
        <f>IF(Presupuesto!B26="","",Presupuesto!G26)</f>
        <v/>
      </c>
      <c r="E26">
        <f>IF(Presupuesto!B26="","",Presupuesto!D26)</f>
        <v/>
      </c>
    </row>
    <row r="27">
      <c r="A27">
        <f>IF(Presupuesto!B27="","",Presupuesto!B27)</f>
        <v/>
      </c>
      <c r="B27">
        <f>IF(Presupuesto!B27="","",Presupuesto!C27)</f>
        <v/>
      </c>
      <c r="C27">
        <f>IF(Presupuesto!B27="","",Presupuesto!E27)</f>
        <v/>
      </c>
      <c r="D27">
        <f>IF(Presupuesto!B27="","",Presupuesto!G27)</f>
        <v/>
      </c>
      <c r="E27">
        <f>IF(Presupuesto!B27="","",Presupuesto!D27)</f>
        <v/>
      </c>
    </row>
    <row r="28">
      <c r="A28">
        <f>IF(Presupuesto!B28="","",Presupuesto!B28)</f>
        <v/>
      </c>
      <c r="B28">
        <f>IF(Presupuesto!B28="","",Presupuesto!C28)</f>
        <v/>
      </c>
      <c r="C28">
        <f>IF(Presupuesto!B28="","",Presupuesto!E28)</f>
        <v/>
      </c>
      <c r="D28">
        <f>IF(Presupuesto!B28="","",Presupuesto!G28)</f>
        <v/>
      </c>
      <c r="E28">
        <f>IF(Presupuesto!B28="","",Presupuesto!D28)</f>
        <v/>
      </c>
    </row>
    <row r="29">
      <c r="A29">
        <f>IF(Presupuesto!B29="","",Presupuesto!B29)</f>
        <v/>
      </c>
      <c r="B29">
        <f>IF(Presupuesto!B29="","",Presupuesto!C29)</f>
        <v/>
      </c>
      <c r="C29">
        <f>IF(Presupuesto!B29="","",Presupuesto!E29)</f>
        <v/>
      </c>
      <c r="D29">
        <f>IF(Presupuesto!B29="","",Presupuesto!G29)</f>
        <v/>
      </c>
      <c r="E29">
        <f>IF(Presupuesto!B29="","",Presupuesto!D29)</f>
        <v/>
      </c>
    </row>
    <row r="30">
      <c r="A30">
        <f>IF(Presupuesto!B30="","",Presupuesto!B30)</f>
        <v/>
      </c>
      <c r="B30">
        <f>IF(Presupuesto!B30="","",Presupuesto!C30)</f>
        <v/>
      </c>
      <c r="C30">
        <f>IF(Presupuesto!B30="","",Presupuesto!E30)</f>
        <v/>
      </c>
      <c r="D30">
        <f>IF(Presupuesto!B30="","",Presupuesto!G30)</f>
        <v/>
      </c>
      <c r="E30">
        <f>IF(Presupuesto!B30="","",Presupuesto!D30)</f>
        <v/>
      </c>
    </row>
    <row r="31">
      <c r="A31">
        <f>IF(Presupuesto!B31="","",Presupuesto!B31)</f>
        <v/>
      </c>
      <c r="B31">
        <f>IF(Presupuesto!B31="","",Presupuesto!C31)</f>
        <v/>
      </c>
      <c r="C31">
        <f>IF(Presupuesto!B31="","",Presupuesto!E31)</f>
        <v/>
      </c>
      <c r="D31">
        <f>IF(Presupuesto!B31="","",Presupuesto!G31)</f>
        <v/>
      </c>
      <c r="E31">
        <f>IF(Presupuesto!B31="","",Presupuesto!D31)</f>
        <v/>
      </c>
    </row>
    <row r="32">
      <c r="A32">
        <f>IF(Presupuesto!B32="","",Presupuesto!B32)</f>
        <v/>
      </c>
      <c r="B32">
        <f>IF(Presupuesto!B32="","",Presupuesto!C32)</f>
        <v/>
      </c>
      <c r="C32">
        <f>IF(Presupuesto!B32="","",Presupuesto!E32)</f>
        <v/>
      </c>
      <c r="D32">
        <f>IF(Presupuesto!B32="","",Presupuesto!G32)</f>
        <v/>
      </c>
      <c r="E32">
        <f>IF(Presupuesto!B32="","",Presupuesto!D32)</f>
        <v/>
      </c>
    </row>
    <row r="33">
      <c r="A33">
        <f>IF(Presupuesto!B33="","",Presupuesto!B33)</f>
        <v/>
      </c>
      <c r="B33">
        <f>IF(Presupuesto!B33="","",Presupuesto!C33)</f>
        <v/>
      </c>
      <c r="C33">
        <f>IF(Presupuesto!B33="","",Presupuesto!E33)</f>
        <v/>
      </c>
      <c r="D33">
        <f>IF(Presupuesto!B33="","",Presupuesto!G33)</f>
        <v/>
      </c>
      <c r="E33">
        <f>IF(Presupuesto!B33="","",Presupuesto!D33)</f>
        <v/>
      </c>
    </row>
    <row r="34">
      <c r="A34">
        <f>IF(Presupuesto!B34="","",Presupuesto!B34)</f>
        <v/>
      </c>
      <c r="B34">
        <f>IF(Presupuesto!B34="","",Presupuesto!C34)</f>
        <v/>
      </c>
      <c r="C34">
        <f>IF(Presupuesto!B34="","",Presupuesto!E34)</f>
        <v/>
      </c>
      <c r="D34">
        <f>IF(Presupuesto!B34="","",Presupuesto!G34)</f>
        <v/>
      </c>
      <c r="E34">
        <f>IF(Presupuesto!B34="","",Presupuesto!D34)</f>
        <v/>
      </c>
    </row>
    <row r="35">
      <c r="A35">
        <f>IF(Presupuesto!B35="","",Presupuesto!B35)</f>
        <v/>
      </c>
      <c r="B35">
        <f>IF(Presupuesto!B35="","",Presupuesto!C35)</f>
        <v/>
      </c>
      <c r="C35">
        <f>IF(Presupuesto!B35="","",Presupuesto!E35)</f>
        <v/>
      </c>
      <c r="D35">
        <f>IF(Presupuesto!B35="","",Presupuesto!G35)</f>
        <v/>
      </c>
      <c r="E35">
        <f>IF(Presupuesto!B35="","",Presupuesto!D35)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2026-10-07T23:25:58Z</dcterms:created>
  <dcterms:modified xmlns:dcterms="http://purl.org/dc/terms/" xmlns:xsi="http://www.w3.org/2001/XMLSchema-instance" xsi:type="dcterms:W3CDTF">2026-10-07T23:25:58Z</dcterms:modified>
</cp:coreProperties>
</file>