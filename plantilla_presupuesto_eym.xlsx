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yecto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Presupuesto" sheetId="4" state="visible" r:id="rId4"/>
    <sheet xmlns:r="http://schemas.openxmlformats.org/officeDocument/2006/relationships" name="Resumen" sheetId="5" state="visible" r:id="rId5"/>
    <sheet xmlns:r="http://schemas.openxmlformats.org/officeDocument/2006/relationships" name="Cortes" sheetId="6" state="visible" r:id="rId6"/>
    <sheet xmlns:r="http://schemas.openxmlformats.org/officeDocument/2006/relationships" name="Import_Odo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&quot;$&quot;#,##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165" fontId="0" fillId="2" borderId="1" pivotButton="0" quotePrefix="0" xfId="0"/>
    <xf numFmtId="164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166" fontId="0" fillId="2" borderId="1" pivotButton="0" quotePrefix="0" xfId="0"/>
    <xf numFmtId="0" fontId="0" fillId="2" borderId="0" pivotButton="0" quotePrefix="0" xfId="0"/>
    <xf numFmtId="166" fontId="0" fillId="2" borderId="0" pivotButton="0" quotePrefix="0" xfId="0"/>
    <xf numFmtId="0" fontId="0" fillId="0" borderId="1" pivotButton="0" quotePrefix="0" xfId="0"/>
    <xf numFmtId="166" fontId="0" fillId="0" borderId="1" pivotButton="0" quotePrefix="0" xfId="0"/>
    <xf numFmtId="0" fontId="4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PRESUPUESTO - EYM OFICINAS (v0.1, compatible con Odoo 14 Community)</t>
        </is>
      </c>
    </row>
    <row r="2">
      <c r="A2" t="inlineStr"/>
    </row>
    <row r="3">
      <c r="A3" t="inlineStr">
        <is>
          <t>Celdas amarillas = datos que usted llena. El resto se calcula solo.</t>
        </is>
      </c>
    </row>
    <row r="4">
      <c r="A4" t="inlineStr">
        <is>
          <t>1. Proyecto: datos del cliente y porcentajes (AIU, IVA, vigencia).</t>
        </is>
      </c>
    </row>
    <row r="5">
      <c r="A5" t="inlineStr">
        <is>
          <t>2. Catalogo: productos y materiales. Use los mismos codigos que en Odoo (Referencia interna).</t>
        </is>
      </c>
    </row>
    <row r="6">
      <c r="A6" t="inlineStr">
        <is>
          <t>3. Presupuesto: una linea por item. Al elegir el codigo, trae descripcion, UdM y precio del Catalogo.</t>
        </is>
      </c>
    </row>
    <row r="7">
      <c r="A7" t="inlineStr">
        <is>
          <t>4. Resumen: totales por capitulo, AIU, IVA y total.</t>
        </is>
      </c>
    </row>
    <row r="8">
      <c r="A8" t="inlineStr">
        <is>
          <t>5. Cortes: lista de piezas de tablero/vidrio para optimizar cortes.</t>
        </is>
      </c>
    </row>
    <row r="9">
      <c r="A9" t="inlineStr">
        <is>
          <t>6. Import_Odoo: se genera desde Presupuesto; guardar como CSV (UTF-8) e importar en Ventas &gt; Cotizaciones.</t>
        </is>
      </c>
    </row>
    <row r="10">
      <c r="A10" t="inlineStr"/>
    </row>
    <row r="11">
      <c r="A11" t="inlineStr">
        <is>
          <t>Estado de precio en Catalogo: Confirmado (cotizacion proveedor), Referencia (precio publico/estimado), Pendiente.</t>
        </is>
      </c>
    </row>
    <row r="12">
      <c r="A12" t="inlineStr">
        <is>
          <t>Los porcentajes y tarifas de impuestos son ejemplos editables: verifiquelos con su contador antes de emitir.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2" t="inlineStr">
        <is>
          <t>Cliente</t>
        </is>
      </c>
      <c r="B1" s="3" t="inlineStr"/>
    </row>
    <row r="2">
      <c r="A2" s="2" t="inlineStr">
        <is>
          <t>NIT / Cedula</t>
        </is>
      </c>
      <c r="B2" s="3" t="inlineStr"/>
    </row>
    <row r="3">
      <c r="A3" s="2" t="inlineStr">
        <is>
          <t>Contacto</t>
        </is>
      </c>
      <c r="B3" s="3" t="inlineStr"/>
    </row>
    <row r="4">
      <c r="A4" s="2" t="inlineStr">
        <is>
          <t>Proyecto</t>
        </is>
      </c>
      <c r="B4" s="3" t="inlineStr"/>
    </row>
    <row r="5">
      <c r="A5" s="2" t="inlineStr">
        <is>
          <t>Direccion / Ciudad</t>
        </is>
      </c>
      <c r="B5" s="3" t="inlineStr"/>
    </row>
    <row r="6">
      <c r="A6" s="2" t="inlineStr">
        <is>
          <t>Fecha</t>
        </is>
      </c>
      <c r="B6" s="4" t="inlineStr"/>
    </row>
    <row r="7">
      <c r="A7" s="2" t="inlineStr">
        <is>
          <t>Vigencia de la oferta (dias)</t>
        </is>
      </c>
      <c r="B7" s="3" t="n">
        <v>15</v>
      </c>
    </row>
    <row r="8">
      <c r="A8" s="2" t="inlineStr">
        <is>
          <t>Administracion %</t>
        </is>
      </c>
      <c r="B8" s="5" t="n">
        <v>0.1</v>
      </c>
    </row>
    <row r="9">
      <c r="A9" s="2" t="inlineStr">
        <is>
          <t>Imprevistos %</t>
        </is>
      </c>
      <c r="B9" s="5" t="n">
        <v>0.03</v>
      </c>
    </row>
    <row r="10">
      <c r="A10" s="2" t="inlineStr">
        <is>
          <t>Utilidad %</t>
        </is>
      </c>
      <c r="B10" s="5" t="n">
        <v>0.07000000000000001</v>
      </c>
    </row>
    <row r="11">
      <c r="A11" s="2" t="inlineStr">
        <is>
          <t>IVA %</t>
        </is>
      </c>
      <c r="B11" s="5" t="n">
        <v>0.19</v>
      </c>
    </row>
    <row r="12">
      <c r="A12" s="2" t="inlineStr">
        <is>
          <t>Aplicar AIU (IVA solo sobre utilidad)? (SI/NO)</t>
        </is>
      </c>
      <c r="B12" s="3" t="inlineStr">
        <is>
          <t>NO</t>
        </is>
      </c>
    </row>
    <row r="13">
      <c r="A13" s="2" t="inlineStr">
        <is>
          <t>Anticipo %</t>
        </is>
      </c>
      <c r="B13" s="5" t="n">
        <v>0.5</v>
      </c>
    </row>
  </sheetData>
  <dataValidations count="1">
    <dataValidation sqref="B12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0" customWidth="1" min="3" max="3"/>
    <col width="8" customWidth="1" min="4" max="4"/>
    <col width="14" customWidth="1" min="5" max="5"/>
    <col width="14" customWidth="1" min="6" max="6"/>
    <col width="22" customWidth="1" min="7" max="7"/>
    <col width="13" customWidth="1" min="8" max="8"/>
    <col width="14" customWidth="1" min="9" max="9"/>
    <col width="30" customWidth="1" min="10" max="10"/>
  </cols>
  <sheetData>
    <row r="1">
      <c r="A1" s="6" t="inlineStr">
        <is>
          <t>Codigo (ref. interna Odoo)</t>
        </is>
      </c>
      <c r="B1" s="6" t="inlineStr">
        <is>
          <t>Nombre</t>
        </is>
      </c>
      <c r="C1" s="6" t="inlineStr">
        <is>
          <t>Categoria</t>
        </is>
      </c>
      <c r="D1" s="6" t="inlineStr">
        <is>
          <t>UdM</t>
        </is>
      </c>
      <c r="E1" s="6" t="inlineStr">
        <is>
          <t>Costo</t>
        </is>
      </c>
      <c r="F1" s="6" t="inlineStr">
        <is>
          <t>Precio venta</t>
        </is>
      </c>
      <c r="G1" s="6" t="inlineStr">
        <is>
          <t>Proveedor</t>
        </is>
      </c>
      <c r="H1" s="6" t="inlineStr">
        <is>
          <t>Fecha precio</t>
        </is>
      </c>
      <c r="I1" s="6" t="inlineStr">
        <is>
          <t>Estado precio</t>
        </is>
      </c>
      <c r="J1" s="6" t="inlineStr">
        <is>
          <t>Notas</t>
        </is>
      </c>
    </row>
    <row r="2">
      <c r="A2" s="3" t="inlineStr">
        <is>
          <t>TAB-MEL-15-BL</t>
        </is>
      </c>
      <c r="B2" s="3" t="inlineStr">
        <is>
          <t>Tablero melamina blanco 15mm 1.83x2.44</t>
        </is>
      </c>
      <c r="C2" s="3" t="inlineStr">
        <is>
          <t>Tableros</t>
        </is>
      </c>
      <c r="D2" s="3" t="inlineStr">
        <is>
          <t>und</t>
        </is>
      </c>
      <c r="E2" s="7" t="n">
        <v>0</v>
      </c>
      <c r="F2" s="7" t="n">
        <v>0</v>
      </c>
      <c r="G2" s="3" t="inlineStr"/>
      <c r="H2" s="3" t="inlineStr"/>
      <c r="I2" s="3" t="inlineStr">
        <is>
          <t>Pendiente</t>
        </is>
      </c>
      <c r="J2" s="3" t="inlineStr">
        <is>
          <t>Lamina estandar 1830x2440</t>
        </is>
      </c>
    </row>
    <row r="3">
      <c r="A3" s="3" t="inlineStr">
        <is>
          <t>TAB-MDF-15</t>
        </is>
      </c>
      <c r="B3" s="3" t="inlineStr">
        <is>
          <t>Tablero MDF crudo 15mm 1.83x2.44</t>
        </is>
      </c>
      <c r="C3" s="3" t="inlineStr">
        <is>
          <t>Tableros</t>
        </is>
      </c>
      <c r="D3" s="3" t="inlineStr">
        <is>
          <t>und</t>
        </is>
      </c>
      <c r="E3" s="7" t="n">
        <v>0</v>
      </c>
      <c r="F3" s="7" t="n">
        <v>0</v>
      </c>
      <c r="G3" s="3" t="inlineStr"/>
      <c r="H3" s="3" t="inlineStr"/>
      <c r="I3" s="3" t="inlineStr">
        <is>
          <t>Pendiente</t>
        </is>
      </c>
      <c r="J3" s="3" t="inlineStr"/>
    </row>
    <row r="4">
      <c r="A4" s="3" t="inlineStr">
        <is>
          <t>VID-TEM-8</t>
        </is>
      </c>
      <c r="B4" s="3" t="inlineStr">
        <is>
          <t>Vidrio templado 8mm</t>
        </is>
      </c>
      <c r="C4" s="3" t="inlineStr">
        <is>
          <t>Vidrio</t>
        </is>
      </c>
      <c r="D4" s="3" t="inlineStr">
        <is>
          <t>m2</t>
        </is>
      </c>
      <c r="E4" s="7" t="n">
        <v>0</v>
      </c>
      <c r="F4" s="7" t="n">
        <v>0</v>
      </c>
      <c r="G4" s="3" t="inlineStr"/>
      <c r="H4" s="3" t="inlineStr"/>
      <c r="I4" s="3" t="inlineStr">
        <is>
          <t>Pendiente</t>
        </is>
      </c>
      <c r="J4" s="3" t="inlineStr"/>
    </row>
    <row r="5">
      <c r="A5" s="3" t="inlineStr">
        <is>
          <t>DRY-DIV-2C</t>
        </is>
      </c>
      <c r="B5" s="3" t="inlineStr">
        <is>
          <t>División drywall doble cara</t>
        </is>
      </c>
      <c r="C5" s="3" t="inlineStr">
        <is>
          <t>Obra civil</t>
        </is>
      </c>
      <c r="D5" s="3" t="inlineStr">
        <is>
          <t>m2</t>
        </is>
      </c>
      <c r="E5" s="7" t="n">
        <v>0</v>
      </c>
      <c r="F5" s="7" t="n">
        <v>0</v>
      </c>
      <c r="G5" s="3" t="inlineStr"/>
      <c r="H5" s="3" t="inlineStr"/>
      <c r="I5" s="3" t="inlineStr">
        <is>
          <t>Pendiente</t>
        </is>
      </c>
      <c r="J5" s="3" t="inlineStr"/>
    </row>
    <row r="6">
      <c r="A6" s="3" t="inlineStr">
        <is>
          <t>MO-INST</t>
        </is>
      </c>
      <c r="B6" s="3" t="inlineStr">
        <is>
          <t>Mano de obra instalacion</t>
        </is>
      </c>
      <c r="C6" s="3" t="inlineStr">
        <is>
          <t>Mano de obra</t>
        </is>
      </c>
      <c r="D6" s="3" t="inlineStr">
        <is>
          <t>dia</t>
        </is>
      </c>
      <c r="E6" s="7" t="n">
        <v>0</v>
      </c>
      <c r="F6" s="7" t="n">
        <v>0</v>
      </c>
      <c r="G6" s="3" t="inlineStr"/>
      <c r="H6" s="3" t="inlineStr"/>
      <c r="I6" s="3" t="inlineStr">
        <is>
          <t>Pendiente</t>
        </is>
      </c>
      <c r="J6" s="3" t="inlineStr"/>
    </row>
    <row r="7">
      <c r="A7" s="8" t="n"/>
      <c r="B7" s="8" t="n"/>
      <c r="C7" s="8" t="n"/>
      <c r="D7" s="8" t="n"/>
      <c r="E7" s="9" t="n"/>
      <c r="F7" s="9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9" t="n"/>
      <c r="F8" s="9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9" t="n"/>
      <c r="F9" s="9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9" t="n"/>
      <c r="F10" s="9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9" t="n"/>
      <c r="F11" s="9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9" t="n"/>
      <c r="F12" s="9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9" t="n"/>
      <c r="F13" s="9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9" t="n"/>
      <c r="F14" s="9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9" t="n"/>
      <c r="F15" s="9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9" t="n"/>
      <c r="F16" s="9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9" t="n"/>
      <c r="F17" s="9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9" t="n"/>
      <c r="F18" s="9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9" t="n"/>
      <c r="F19" s="9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9" t="n"/>
      <c r="F20" s="9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9" t="n"/>
      <c r="F21" s="9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9" t="n"/>
      <c r="F22" s="9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9" t="n"/>
      <c r="F23" s="9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9" t="n"/>
      <c r="F24" s="9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9" t="n"/>
      <c r="F25" s="9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9" t="n"/>
      <c r="F26" s="9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9" t="n"/>
      <c r="F27" s="9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9" t="n"/>
      <c r="F28" s="9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9" t="n"/>
      <c r="F29" s="9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9" t="n"/>
      <c r="F30" s="9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9" t="n"/>
      <c r="F31" s="9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9" t="n"/>
      <c r="F32" s="9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9" t="n"/>
      <c r="F33" s="9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9" t="n"/>
      <c r="F34" s="9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9" t="n"/>
      <c r="F35" s="9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9" t="n"/>
      <c r="F36" s="9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9" t="n"/>
      <c r="F37" s="9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9" t="n"/>
      <c r="F38" s="9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9" t="n"/>
      <c r="F39" s="9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9" t="n"/>
      <c r="F40" s="9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9" t="n"/>
      <c r="F41" s="9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9" t="n"/>
      <c r="F42" s="9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9" t="n"/>
      <c r="F43" s="9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9" t="n"/>
      <c r="F44" s="9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9" t="n"/>
      <c r="F45" s="9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9" t="n"/>
      <c r="F46" s="9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9" t="n"/>
      <c r="F47" s="9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9" t="n"/>
      <c r="F48" s="9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9" t="n"/>
      <c r="F49" s="9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9" t="n"/>
      <c r="F50" s="9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9" t="n"/>
      <c r="F51" s="9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9" t="n"/>
      <c r="F52" s="9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9" t="n"/>
      <c r="F53" s="9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9" t="n"/>
      <c r="F54" s="9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9" t="n"/>
      <c r="F55" s="9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9" t="n"/>
      <c r="F56" s="9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9" t="n"/>
      <c r="F57" s="9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9" t="n"/>
      <c r="F58" s="9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9" t="n"/>
      <c r="F59" s="9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9" t="n"/>
      <c r="F60" s="9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9" t="n"/>
      <c r="F61" s="9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9" t="n"/>
      <c r="F62" s="9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9" t="n"/>
      <c r="F63" s="9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9" t="n"/>
      <c r="F64" s="9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9" t="n"/>
      <c r="F65" s="9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9" t="n"/>
      <c r="F66" s="9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9" t="n"/>
      <c r="F67" s="9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9" t="n"/>
      <c r="F68" s="9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9" t="n"/>
      <c r="F69" s="9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9" t="n"/>
      <c r="F70" s="9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9" t="n"/>
      <c r="F71" s="9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9" t="n"/>
      <c r="F72" s="9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9" t="n"/>
      <c r="F73" s="9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9" t="n"/>
      <c r="F74" s="9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9" t="n"/>
      <c r="F75" s="9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9" t="n"/>
      <c r="F76" s="9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9" t="n"/>
      <c r="F77" s="9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9" t="n"/>
      <c r="F78" s="9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9" t="n"/>
      <c r="F79" s="9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9" t="n"/>
      <c r="F80" s="9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9" t="n"/>
      <c r="F81" s="9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9" t="n"/>
      <c r="F82" s="9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9" t="n"/>
      <c r="F83" s="9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9" t="n"/>
      <c r="F84" s="9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9" t="n"/>
      <c r="F85" s="9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9" t="n"/>
      <c r="F86" s="9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9" t="n"/>
      <c r="F87" s="9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9" t="n"/>
      <c r="F88" s="9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9" t="n"/>
      <c r="F89" s="9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9" t="n"/>
      <c r="F90" s="9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9" t="n"/>
      <c r="F91" s="9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9" t="n"/>
      <c r="F92" s="9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9" t="n"/>
      <c r="F93" s="9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9" t="n"/>
      <c r="F94" s="9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9" t="n"/>
      <c r="F95" s="9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9" t="n"/>
      <c r="F96" s="9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9" t="n"/>
      <c r="F97" s="9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9" t="n"/>
      <c r="F98" s="9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9" t="n"/>
      <c r="F99" s="9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9" t="n"/>
      <c r="F100" s="9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9" t="n"/>
      <c r="F101" s="9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9" t="n"/>
      <c r="F102" s="9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9" t="n"/>
      <c r="F103" s="9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9" t="n"/>
      <c r="F104" s="9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9" t="n"/>
      <c r="F105" s="9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9" t="n"/>
      <c r="F106" s="9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9" t="n"/>
      <c r="F107" s="9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9" t="n"/>
      <c r="F108" s="9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9" t="n"/>
      <c r="F109" s="9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9" t="n"/>
      <c r="F110" s="9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9" t="n"/>
      <c r="F111" s="9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9" t="n"/>
      <c r="F112" s="9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9" t="n"/>
      <c r="F113" s="9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9" t="n"/>
      <c r="F114" s="9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9" t="n"/>
      <c r="F115" s="9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9" t="n"/>
      <c r="F116" s="9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9" t="n"/>
      <c r="F117" s="9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9" t="n"/>
      <c r="F118" s="9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9" t="n"/>
      <c r="F119" s="9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9" t="n"/>
      <c r="F120" s="9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9" t="n"/>
      <c r="F121" s="9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9" t="n"/>
      <c r="F122" s="9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9" t="n"/>
      <c r="F123" s="9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9" t="n"/>
      <c r="F124" s="9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9" t="n"/>
      <c r="F125" s="9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9" t="n"/>
      <c r="F126" s="9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9" t="n"/>
      <c r="F127" s="9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9" t="n"/>
      <c r="F128" s="9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9" t="n"/>
      <c r="F129" s="9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9" t="n"/>
      <c r="F130" s="9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9" t="n"/>
      <c r="F131" s="9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9" t="n"/>
      <c r="F132" s="9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9" t="n"/>
      <c r="F133" s="9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9" t="n"/>
      <c r="F134" s="9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9" t="n"/>
      <c r="F135" s="9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9" t="n"/>
      <c r="F136" s="9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9" t="n"/>
      <c r="F137" s="9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9" t="n"/>
      <c r="F138" s="9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9" t="n"/>
      <c r="F139" s="9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9" t="n"/>
      <c r="F140" s="9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9" t="n"/>
      <c r="F141" s="9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9" t="n"/>
      <c r="F142" s="9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9" t="n"/>
      <c r="F143" s="9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9" t="n"/>
      <c r="F144" s="9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9" t="n"/>
      <c r="F145" s="9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9" t="n"/>
      <c r="F146" s="9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9" t="n"/>
      <c r="F147" s="9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9" t="n"/>
      <c r="F148" s="9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9" t="n"/>
      <c r="F149" s="9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9" t="n"/>
      <c r="F150" s="9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9" t="n"/>
      <c r="F151" s="9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9" t="n"/>
      <c r="F152" s="9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9" t="n"/>
      <c r="F153" s="9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9" t="n"/>
      <c r="F154" s="9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9" t="n"/>
      <c r="F155" s="9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9" t="n"/>
      <c r="F156" s="9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9" t="n"/>
      <c r="F157" s="9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9" t="n"/>
      <c r="F158" s="9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9" t="n"/>
      <c r="F159" s="9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9" t="n"/>
      <c r="F160" s="9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9" t="n"/>
      <c r="F161" s="9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9" t="n"/>
      <c r="F162" s="9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9" t="n"/>
      <c r="F163" s="9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9" t="n"/>
      <c r="F164" s="9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9" t="n"/>
      <c r="F165" s="9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9" t="n"/>
      <c r="F166" s="9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9" t="n"/>
      <c r="F167" s="9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9" t="n"/>
      <c r="F168" s="9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9" t="n"/>
      <c r="F169" s="9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9" t="n"/>
      <c r="F170" s="9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9" t="n"/>
      <c r="F171" s="9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9" t="n"/>
      <c r="F172" s="9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9" t="n"/>
      <c r="F173" s="9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9" t="n"/>
      <c r="F174" s="9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9" t="n"/>
      <c r="F175" s="9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9" t="n"/>
      <c r="F176" s="9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9" t="n"/>
      <c r="F177" s="9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9" t="n"/>
      <c r="F178" s="9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9" t="n"/>
      <c r="F179" s="9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9" t="n"/>
      <c r="F180" s="9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9" t="n"/>
      <c r="F181" s="9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9" t="n"/>
      <c r="F182" s="9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9" t="n"/>
      <c r="F183" s="9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9" t="n"/>
      <c r="F184" s="9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9" t="n"/>
      <c r="F185" s="9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9" t="n"/>
      <c r="F186" s="9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9" t="n"/>
      <c r="F187" s="9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9" t="n"/>
      <c r="F188" s="9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9" t="n"/>
      <c r="F189" s="9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9" t="n"/>
      <c r="F190" s="9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9" t="n"/>
      <c r="F191" s="9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9" t="n"/>
      <c r="F192" s="9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9" t="n"/>
      <c r="F193" s="9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9" t="n"/>
      <c r="F194" s="9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9" t="n"/>
      <c r="F195" s="9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9" t="n"/>
      <c r="F196" s="9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9" t="n"/>
      <c r="F197" s="9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9" t="n"/>
      <c r="F198" s="9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9" t="n"/>
      <c r="F199" s="9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9" t="n"/>
      <c r="F200" s="9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9" t="n"/>
      <c r="F201" s="9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9" t="n"/>
      <c r="F202" s="9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9" t="n"/>
      <c r="F203" s="9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9" t="n"/>
      <c r="F204" s="9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9" t="n"/>
      <c r="F205" s="9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9" t="n"/>
      <c r="F206" s="9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9" t="n"/>
      <c r="F207" s="9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9" t="n"/>
      <c r="F208" s="9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9" t="n"/>
      <c r="F209" s="9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9" t="n"/>
      <c r="F210" s="9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9" t="n"/>
      <c r="F211" s="9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9" t="n"/>
      <c r="F212" s="9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9" t="n"/>
      <c r="F213" s="9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9" t="n"/>
      <c r="F214" s="9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9" t="n"/>
      <c r="F215" s="9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9" t="n"/>
      <c r="F216" s="9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9" t="n"/>
      <c r="F217" s="9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9" t="n"/>
      <c r="F218" s="9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9" t="n"/>
      <c r="F219" s="9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9" t="n"/>
      <c r="F220" s="9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9" t="n"/>
      <c r="F221" s="9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9" t="n"/>
      <c r="F222" s="9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9" t="n"/>
      <c r="F223" s="9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9" t="n"/>
      <c r="F224" s="9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9" t="n"/>
      <c r="F225" s="9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9" t="n"/>
      <c r="F226" s="9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9" t="n"/>
      <c r="F227" s="9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9" t="n"/>
      <c r="F228" s="9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9" t="n"/>
      <c r="F229" s="9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9" t="n"/>
      <c r="F230" s="9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9" t="n"/>
      <c r="F231" s="9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9" t="n"/>
      <c r="F232" s="9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9" t="n"/>
      <c r="F233" s="9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9" t="n"/>
      <c r="F234" s="9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9" t="n"/>
      <c r="F235" s="9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9" t="n"/>
      <c r="F236" s="9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9" t="n"/>
      <c r="F237" s="9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9" t="n"/>
      <c r="F238" s="9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9" t="n"/>
      <c r="F239" s="9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9" t="n"/>
      <c r="F240" s="9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9" t="n"/>
      <c r="F241" s="9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9" t="n"/>
      <c r="F242" s="9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9" t="n"/>
      <c r="F243" s="9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9" t="n"/>
      <c r="F244" s="9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9" t="n"/>
      <c r="F245" s="9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9" t="n"/>
      <c r="F246" s="9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9" t="n"/>
      <c r="F247" s="9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9" t="n"/>
      <c r="F248" s="9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9" t="n"/>
      <c r="F249" s="9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9" t="n"/>
      <c r="F250" s="9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9" t="n"/>
      <c r="F251" s="9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9" t="n"/>
      <c r="F252" s="9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9" t="n"/>
      <c r="F253" s="9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9" t="n"/>
      <c r="F254" s="9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9" t="n"/>
      <c r="F255" s="9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9" t="n"/>
      <c r="F256" s="9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9" t="n"/>
      <c r="F257" s="9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9" t="n"/>
      <c r="F258" s="9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9" t="n"/>
      <c r="F259" s="9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9" t="n"/>
      <c r="F260" s="9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9" t="n"/>
      <c r="F261" s="9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9" t="n"/>
      <c r="F262" s="9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9" t="n"/>
      <c r="F263" s="9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9" t="n"/>
      <c r="F264" s="9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9" t="n"/>
      <c r="F265" s="9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9" t="n"/>
      <c r="F266" s="9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9" t="n"/>
      <c r="F267" s="9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9" t="n"/>
      <c r="F268" s="9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9" t="n"/>
      <c r="F269" s="9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9" t="n"/>
      <c r="F270" s="9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9" t="n"/>
      <c r="F271" s="9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9" t="n"/>
      <c r="F272" s="9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9" t="n"/>
      <c r="F273" s="9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9" t="n"/>
      <c r="F274" s="9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9" t="n"/>
      <c r="F275" s="9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9" t="n"/>
      <c r="F276" s="9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9" t="n"/>
      <c r="F277" s="9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9" t="n"/>
      <c r="F278" s="9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9" t="n"/>
      <c r="F279" s="9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9" t="n"/>
      <c r="F280" s="9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9" t="n"/>
      <c r="F281" s="9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9" t="n"/>
      <c r="F282" s="9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9" t="n"/>
      <c r="F283" s="9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9" t="n"/>
      <c r="F284" s="9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9" t="n"/>
      <c r="F285" s="9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9" t="n"/>
      <c r="F286" s="9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9" t="n"/>
      <c r="F287" s="9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9" t="n"/>
      <c r="F288" s="9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9" t="n"/>
      <c r="F289" s="9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9" t="n"/>
      <c r="F290" s="9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9" t="n"/>
      <c r="F291" s="9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9" t="n"/>
      <c r="F292" s="9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9" t="n"/>
      <c r="F293" s="9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9" t="n"/>
      <c r="F294" s="9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9" t="n"/>
      <c r="F295" s="9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9" t="n"/>
      <c r="F296" s="9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9" t="n"/>
      <c r="F297" s="9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9" t="n"/>
      <c r="F298" s="9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9" t="n"/>
      <c r="F299" s="9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9" t="n"/>
      <c r="F300" s="9" t="n"/>
      <c r="G300" s="8" t="n"/>
      <c r="H300" s="8" t="n"/>
      <c r="I300" s="8" t="n"/>
      <c r="J300" s="8" t="n"/>
    </row>
    <row r="301">
      <c r="A301" s="8" t="n"/>
      <c r="B301" s="8" t="n"/>
      <c r="C301" s="8" t="n"/>
      <c r="D301" s="8" t="n"/>
      <c r="E301" s="9" t="n"/>
      <c r="F301" s="9" t="n"/>
      <c r="G301" s="8" t="n"/>
      <c r="H301" s="8" t="n"/>
      <c r="I301" s="8" t="n"/>
      <c r="J301" s="8" t="n"/>
    </row>
    <row r="302">
      <c r="A302" s="8" t="n"/>
      <c r="B302" s="8" t="n"/>
      <c r="C302" s="8" t="n"/>
      <c r="D302" s="8" t="n"/>
      <c r="E302" s="9" t="n"/>
      <c r="F302" s="9" t="n"/>
      <c r="G302" s="8" t="n"/>
      <c r="H302" s="8" t="n"/>
      <c r="I302" s="8" t="n"/>
      <c r="J302" s="8" t="n"/>
    </row>
    <row r="303">
      <c r="A303" s="8" t="n"/>
      <c r="B303" s="8" t="n"/>
      <c r="C303" s="8" t="n"/>
      <c r="D303" s="8" t="n"/>
      <c r="E303" s="9" t="n"/>
      <c r="F303" s="9" t="n"/>
      <c r="G303" s="8" t="n"/>
      <c r="H303" s="8" t="n"/>
      <c r="I303" s="8" t="n"/>
      <c r="J303" s="8" t="n"/>
    </row>
    <row r="304">
      <c r="A304" s="8" t="n"/>
      <c r="B304" s="8" t="n"/>
      <c r="C304" s="8" t="n"/>
      <c r="D304" s="8" t="n"/>
      <c r="E304" s="9" t="n"/>
      <c r="F304" s="9" t="n"/>
      <c r="G304" s="8" t="n"/>
      <c r="H304" s="8" t="n"/>
      <c r="I304" s="8" t="n"/>
      <c r="J304" s="8" t="n"/>
    </row>
    <row r="305">
      <c r="A305" s="8" t="n"/>
      <c r="B305" s="8" t="n"/>
      <c r="C305" s="8" t="n"/>
      <c r="D305" s="8" t="n"/>
      <c r="E305" s="9" t="n"/>
      <c r="F305" s="9" t="n"/>
      <c r="G305" s="8" t="n"/>
      <c r="H305" s="8" t="n"/>
      <c r="I305" s="8" t="n"/>
      <c r="J305" s="8" t="n"/>
    </row>
    <row r="306">
      <c r="A306" s="8" t="n"/>
      <c r="B306" s="8" t="n"/>
      <c r="C306" s="8" t="n"/>
      <c r="D306" s="8" t="n"/>
      <c r="E306" s="9" t="n"/>
      <c r="F306" s="9" t="n"/>
      <c r="G306" s="8" t="n"/>
      <c r="H306" s="8" t="n"/>
      <c r="I306" s="8" t="n"/>
      <c r="J306" s="8" t="n"/>
    </row>
    <row r="307">
      <c r="A307" s="8" t="n"/>
      <c r="B307" s="8" t="n"/>
      <c r="C307" s="8" t="n"/>
      <c r="D307" s="8" t="n"/>
      <c r="E307" s="9" t="n"/>
      <c r="F307" s="9" t="n"/>
      <c r="G307" s="8" t="n"/>
      <c r="H307" s="8" t="n"/>
      <c r="I307" s="8" t="n"/>
      <c r="J307" s="8" t="n"/>
    </row>
    <row r="308">
      <c r="A308" s="8" t="n"/>
      <c r="B308" s="8" t="n"/>
      <c r="C308" s="8" t="n"/>
      <c r="D308" s="8" t="n"/>
      <c r="E308" s="9" t="n"/>
      <c r="F308" s="9" t="n"/>
      <c r="G308" s="8" t="n"/>
      <c r="H308" s="8" t="n"/>
      <c r="I308" s="8" t="n"/>
      <c r="J308" s="8" t="n"/>
    </row>
    <row r="309">
      <c r="A309" s="8" t="n"/>
      <c r="B309" s="8" t="n"/>
      <c r="C309" s="8" t="n"/>
      <c r="D309" s="8" t="n"/>
      <c r="E309" s="9" t="n"/>
      <c r="F309" s="9" t="n"/>
      <c r="G309" s="8" t="n"/>
      <c r="H309" s="8" t="n"/>
      <c r="I309" s="8" t="n"/>
      <c r="J309" s="8" t="n"/>
    </row>
    <row r="310">
      <c r="A310" s="8" t="n"/>
      <c r="B310" s="8" t="n"/>
      <c r="C310" s="8" t="n"/>
      <c r="D310" s="8" t="n"/>
      <c r="E310" s="9" t="n"/>
      <c r="F310" s="9" t="n"/>
      <c r="G310" s="8" t="n"/>
      <c r="H310" s="8" t="n"/>
      <c r="I310" s="8" t="n"/>
      <c r="J310" s="8" t="n"/>
    </row>
    <row r="311">
      <c r="A311" s="8" t="n"/>
      <c r="B311" s="8" t="n"/>
      <c r="C311" s="8" t="n"/>
      <c r="D311" s="8" t="n"/>
      <c r="E311" s="9" t="n"/>
      <c r="F311" s="9" t="n"/>
      <c r="G311" s="8" t="n"/>
      <c r="H311" s="8" t="n"/>
      <c r="I311" s="8" t="n"/>
      <c r="J311" s="8" t="n"/>
    </row>
    <row r="312">
      <c r="A312" s="8" t="n"/>
      <c r="B312" s="8" t="n"/>
      <c r="C312" s="8" t="n"/>
      <c r="D312" s="8" t="n"/>
      <c r="E312" s="9" t="n"/>
      <c r="F312" s="9" t="n"/>
      <c r="G312" s="8" t="n"/>
      <c r="H312" s="8" t="n"/>
      <c r="I312" s="8" t="n"/>
      <c r="J312" s="8" t="n"/>
    </row>
    <row r="313">
      <c r="A313" s="8" t="n"/>
      <c r="B313" s="8" t="n"/>
      <c r="C313" s="8" t="n"/>
      <c r="D313" s="8" t="n"/>
      <c r="E313" s="9" t="n"/>
      <c r="F313" s="9" t="n"/>
      <c r="G313" s="8" t="n"/>
      <c r="H313" s="8" t="n"/>
      <c r="I313" s="8" t="n"/>
      <c r="J313" s="8" t="n"/>
    </row>
    <row r="314">
      <c r="A314" s="8" t="n"/>
      <c r="B314" s="8" t="n"/>
      <c r="C314" s="8" t="n"/>
      <c r="D314" s="8" t="n"/>
      <c r="E314" s="9" t="n"/>
      <c r="F314" s="9" t="n"/>
      <c r="G314" s="8" t="n"/>
      <c r="H314" s="8" t="n"/>
      <c r="I314" s="8" t="n"/>
      <c r="J314" s="8" t="n"/>
    </row>
    <row r="315">
      <c r="A315" s="8" t="n"/>
      <c r="B315" s="8" t="n"/>
      <c r="C315" s="8" t="n"/>
      <c r="D315" s="8" t="n"/>
      <c r="E315" s="9" t="n"/>
      <c r="F315" s="9" t="n"/>
      <c r="G315" s="8" t="n"/>
      <c r="H315" s="8" t="n"/>
      <c r="I315" s="8" t="n"/>
      <c r="J315" s="8" t="n"/>
    </row>
    <row r="316">
      <c r="A316" s="8" t="n"/>
      <c r="B316" s="8" t="n"/>
      <c r="C316" s="8" t="n"/>
      <c r="D316" s="8" t="n"/>
      <c r="E316" s="9" t="n"/>
      <c r="F316" s="9" t="n"/>
      <c r="G316" s="8" t="n"/>
      <c r="H316" s="8" t="n"/>
      <c r="I316" s="8" t="n"/>
      <c r="J316" s="8" t="n"/>
    </row>
    <row r="317">
      <c r="A317" s="8" t="n"/>
      <c r="B317" s="8" t="n"/>
      <c r="C317" s="8" t="n"/>
      <c r="D317" s="8" t="n"/>
      <c r="E317" s="9" t="n"/>
      <c r="F317" s="9" t="n"/>
      <c r="G317" s="8" t="n"/>
      <c r="H317" s="8" t="n"/>
      <c r="I317" s="8" t="n"/>
      <c r="J317" s="8" t="n"/>
    </row>
    <row r="318">
      <c r="A318" s="8" t="n"/>
      <c r="B318" s="8" t="n"/>
      <c r="C318" s="8" t="n"/>
      <c r="D318" s="8" t="n"/>
      <c r="E318" s="9" t="n"/>
      <c r="F318" s="9" t="n"/>
      <c r="G318" s="8" t="n"/>
      <c r="H318" s="8" t="n"/>
      <c r="I318" s="8" t="n"/>
      <c r="J318" s="8" t="n"/>
    </row>
    <row r="319">
      <c r="A319" s="8" t="n"/>
      <c r="B319" s="8" t="n"/>
      <c r="C319" s="8" t="n"/>
      <c r="D319" s="8" t="n"/>
      <c r="E319" s="9" t="n"/>
      <c r="F319" s="9" t="n"/>
      <c r="G319" s="8" t="n"/>
      <c r="H319" s="8" t="n"/>
      <c r="I319" s="8" t="n"/>
      <c r="J319" s="8" t="n"/>
    </row>
    <row r="320">
      <c r="A320" s="8" t="n"/>
      <c r="B320" s="8" t="n"/>
      <c r="C320" s="8" t="n"/>
      <c r="D320" s="8" t="n"/>
      <c r="E320" s="9" t="n"/>
      <c r="F320" s="9" t="n"/>
      <c r="G320" s="8" t="n"/>
      <c r="H320" s="8" t="n"/>
      <c r="I320" s="8" t="n"/>
      <c r="J320" s="8" t="n"/>
    </row>
    <row r="321">
      <c r="A321" s="8" t="n"/>
      <c r="B321" s="8" t="n"/>
      <c r="C321" s="8" t="n"/>
      <c r="D321" s="8" t="n"/>
      <c r="E321" s="9" t="n"/>
      <c r="F321" s="9" t="n"/>
      <c r="G321" s="8" t="n"/>
      <c r="H321" s="8" t="n"/>
      <c r="I321" s="8" t="n"/>
      <c r="J321" s="8" t="n"/>
    </row>
    <row r="322">
      <c r="A322" s="8" t="n"/>
      <c r="B322" s="8" t="n"/>
      <c r="C322" s="8" t="n"/>
      <c r="D322" s="8" t="n"/>
      <c r="E322" s="9" t="n"/>
      <c r="F322" s="9" t="n"/>
      <c r="G322" s="8" t="n"/>
      <c r="H322" s="8" t="n"/>
      <c r="I322" s="8" t="n"/>
      <c r="J322" s="8" t="n"/>
    </row>
    <row r="323">
      <c r="A323" s="8" t="n"/>
      <c r="B323" s="8" t="n"/>
      <c r="C323" s="8" t="n"/>
      <c r="D323" s="8" t="n"/>
      <c r="E323" s="9" t="n"/>
      <c r="F323" s="9" t="n"/>
      <c r="G323" s="8" t="n"/>
      <c r="H323" s="8" t="n"/>
      <c r="I323" s="8" t="n"/>
      <c r="J323" s="8" t="n"/>
    </row>
    <row r="324">
      <c r="A324" s="8" t="n"/>
      <c r="B324" s="8" t="n"/>
      <c r="C324" s="8" t="n"/>
      <c r="D324" s="8" t="n"/>
      <c r="E324" s="9" t="n"/>
      <c r="F324" s="9" t="n"/>
      <c r="G324" s="8" t="n"/>
      <c r="H324" s="8" t="n"/>
      <c r="I324" s="8" t="n"/>
      <c r="J324" s="8" t="n"/>
    </row>
    <row r="325">
      <c r="A325" s="8" t="n"/>
      <c r="B325" s="8" t="n"/>
      <c r="C325" s="8" t="n"/>
      <c r="D325" s="8" t="n"/>
      <c r="E325" s="9" t="n"/>
      <c r="F325" s="9" t="n"/>
      <c r="G325" s="8" t="n"/>
      <c r="H325" s="8" t="n"/>
      <c r="I325" s="8" t="n"/>
      <c r="J325" s="8" t="n"/>
    </row>
    <row r="326">
      <c r="A326" s="8" t="n"/>
      <c r="B326" s="8" t="n"/>
      <c r="C326" s="8" t="n"/>
      <c r="D326" s="8" t="n"/>
      <c r="E326" s="9" t="n"/>
      <c r="F326" s="9" t="n"/>
      <c r="G326" s="8" t="n"/>
      <c r="H326" s="8" t="n"/>
      <c r="I326" s="8" t="n"/>
      <c r="J326" s="8" t="n"/>
    </row>
    <row r="327">
      <c r="A327" s="8" t="n"/>
      <c r="B327" s="8" t="n"/>
      <c r="C327" s="8" t="n"/>
      <c r="D327" s="8" t="n"/>
      <c r="E327" s="9" t="n"/>
      <c r="F327" s="9" t="n"/>
      <c r="G327" s="8" t="n"/>
      <c r="H327" s="8" t="n"/>
      <c r="I327" s="8" t="n"/>
      <c r="J327" s="8" t="n"/>
    </row>
    <row r="328">
      <c r="A328" s="8" t="n"/>
      <c r="B328" s="8" t="n"/>
      <c r="C328" s="8" t="n"/>
      <c r="D328" s="8" t="n"/>
      <c r="E328" s="9" t="n"/>
      <c r="F328" s="9" t="n"/>
      <c r="G328" s="8" t="n"/>
      <c r="H328" s="8" t="n"/>
      <c r="I328" s="8" t="n"/>
      <c r="J328" s="8" t="n"/>
    </row>
    <row r="329">
      <c r="A329" s="8" t="n"/>
      <c r="B329" s="8" t="n"/>
      <c r="C329" s="8" t="n"/>
      <c r="D329" s="8" t="n"/>
      <c r="E329" s="9" t="n"/>
      <c r="F329" s="9" t="n"/>
      <c r="G329" s="8" t="n"/>
      <c r="H329" s="8" t="n"/>
      <c r="I329" s="8" t="n"/>
      <c r="J329" s="8" t="n"/>
    </row>
    <row r="330">
      <c r="A330" s="8" t="n"/>
      <c r="B330" s="8" t="n"/>
      <c r="C330" s="8" t="n"/>
      <c r="D330" s="8" t="n"/>
      <c r="E330" s="9" t="n"/>
      <c r="F330" s="9" t="n"/>
      <c r="G330" s="8" t="n"/>
      <c r="H330" s="8" t="n"/>
      <c r="I330" s="8" t="n"/>
      <c r="J330" s="8" t="n"/>
    </row>
    <row r="331">
      <c r="A331" s="8" t="n"/>
      <c r="B331" s="8" t="n"/>
      <c r="C331" s="8" t="n"/>
      <c r="D331" s="8" t="n"/>
      <c r="E331" s="9" t="n"/>
      <c r="F331" s="9" t="n"/>
      <c r="G331" s="8" t="n"/>
      <c r="H331" s="8" t="n"/>
      <c r="I331" s="8" t="n"/>
      <c r="J331" s="8" t="n"/>
    </row>
    <row r="332">
      <c r="A332" s="8" t="n"/>
      <c r="B332" s="8" t="n"/>
      <c r="C332" s="8" t="n"/>
      <c r="D332" s="8" t="n"/>
      <c r="E332" s="9" t="n"/>
      <c r="F332" s="9" t="n"/>
      <c r="G332" s="8" t="n"/>
      <c r="H332" s="8" t="n"/>
      <c r="I332" s="8" t="n"/>
      <c r="J332" s="8" t="n"/>
    </row>
    <row r="333">
      <c r="A333" s="8" t="n"/>
      <c r="B333" s="8" t="n"/>
      <c r="C333" s="8" t="n"/>
      <c r="D333" s="8" t="n"/>
      <c r="E333" s="9" t="n"/>
      <c r="F333" s="9" t="n"/>
      <c r="G333" s="8" t="n"/>
      <c r="H333" s="8" t="n"/>
      <c r="I333" s="8" t="n"/>
      <c r="J333" s="8" t="n"/>
    </row>
    <row r="334">
      <c r="A334" s="8" t="n"/>
      <c r="B334" s="8" t="n"/>
      <c r="C334" s="8" t="n"/>
      <c r="D334" s="8" t="n"/>
      <c r="E334" s="9" t="n"/>
      <c r="F334" s="9" t="n"/>
      <c r="G334" s="8" t="n"/>
      <c r="H334" s="8" t="n"/>
      <c r="I334" s="8" t="n"/>
      <c r="J334" s="8" t="n"/>
    </row>
    <row r="335">
      <c r="A335" s="8" t="n"/>
      <c r="B335" s="8" t="n"/>
      <c r="C335" s="8" t="n"/>
      <c r="D335" s="8" t="n"/>
      <c r="E335" s="9" t="n"/>
      <c r="F335" s="9" t="n"/>
      <c r="G335" s="8" t="n"/>
      <c r="H335" s="8" t="n"/>
      <c r="I335" s="8" t="n"/>
      <c r="J335" s="8" t="n"/>
    </row>
    <row r="336">
      <c r="A336" s="8" t="n"/>
      <c r="B336" s="8" t="n"/>
      <c r="C336" s="8" t="n"/>
      <c r="D336" s="8" t="n"/>
      <c r="E336" s="9" t="n"/>
      <c r="F336" s="9" t="n"/>
      <c r="G336" s="8" t="n"/>
      <c r="H336" s="8" t="n"/>
      <c r="I336" s="8" t="n"/>
      <c r="J336" s="8" t="n"/>
    </row>
    <row r="337">
      <c r="A337" s="8" t="n"/>
      <c r="B337" s="8" t="n"/>
      <c r="C337" s="8" t="n"/>
      <c r="D337" s="8" t="n"/>
      <c r="E337" s="9" t="n"/>
      <c r="F337" s="9" t="n"/>
      <c r="G337" s="8" t="n"/>
      <c r="H337" s="8" t="n"/>
      <c r="I337" s="8" t="n"/>
      <c r="J337" s="8" t="n"/>
    </row>
    <row r="338">
      <c r="A338" s="8" t="n"/>
      <c r="B338" s="8" t="n"/>
      <c r="C338" s="8" t="n"/>
      <c r="D338" s="8" t="n"/>
      <c r="E338" s="9" t="n"/>
      <c r="F338" s="9" t="n"/>
      <c r="G338" s="8" t="n"/>
      <c r="H338" s="8" t="n"/>
      <c r="I338" s="8" t="n"/>
      <c r="J338" s="8" t="n"/>
    </row>
    <row r="339">
      <c r="A339" s="8" t="n"/>
      <c r="B339" s="8" t="n"/>
      <c r="C339" s="8" t="n"/>
      <c r="D339" s="8" t="n"/>
      <c r="E339" s="9" t="n"/>
      <c r="F339" s="9" t="n"/>
      <c r="G339" s="8" t="n"/>
      <c r="H339" s="8" t="n"/>
      <c r="I339" s="8" t="n"/>
      <c r="J339" s="8" t="n"/>
    </row>
    <row r="340">
      <c r="A340" s="8" t="n"/>
      <c r="B340" s="8" t="n"/>
      <c r="C340" s="8" t="n"/>
      <c r="D340" s="8" t="n"/>
      <c r="E340" s="9" t="n"/>
      <c r="F340" s="9" t="n"/>
      <c r="G340" s="8" t="n"/>
      <c r="H340" s="8" t="n"/>
      <c r="I340" s="8" t="n"/>
      <c r="J340" s="8" t="n"/>
    </row>
    <row r="341">
      <c r="A341" s="8" t="n"/>
      <c r="B341" s="8" t="n"/>
      <c r="C341" s="8" t="n"/>
      <c r="D341" s="8" t="n"/>
      <c r="E341" s="9" t="n"/>
      <c r="F341" s="9" t="n"/>
      <c r="G341" s="8" t="n"/>
      <c r="H341" s="8" t="n"/>
      <c r="I341" s="8" t="n"/>
      <c r="J341" s="8" t="n"/>
    </row>
    <row r="342">
      <c r="A342" s="8" t="n"/>
      <c r="B342" s="8" t="n"/>
      <c r="C342" s="8" t="n"/>
      <c r="D342" s="8" t="n"/>
      <c r="E342" s="9" t="n"/>
      <c r="F342" s="9" t="n"/>
      <c r="G342" s="8" t="n"/>
      <c r="H342" s="8" t="n"/>
      <c r="I342" s="8" t="n"/>
      <c r="J342" s="8" t="n"/>
    </row>
    <row r="343">
      <c r="A343" s="8" t="n"/>
      <c r="B343" s="8" t="n"/>
      <c r="C343" s="8" t="n"/>
      <c r="D343" s="8" t="n"/>
      <c r="E343" s="9" t="n"/>
      <c r="F343" s="9" t="n"/>
      <c r="G343" s="8" t="n"/>
      <c r="H343" s="8" t="n"/>
      <c r="I343" s="8" t="n"/>
      <c r="J343" s="8" t="n"/>
    </row>
    <row r="344">
      <c r="A344" s="8" t="n"/>
      <c r="B344" s="8" t="n"/>
      <c r="C344" s="8" t="n"/>
      <c r="D344" s="8" t="n"/>
      <c r="E344" s="9" t="n"/>
      <c r="F344" s="9" t="n"/>
      <c r="G344" s="8" t="n"/>
      <c r="H344" s="8" t="n"/>
      <c r="I344" s="8" t="n"/>
      <c r="J344" s="8" t="n"/>
    </row>
    <row r="345">
      <c r="A345" s="8" t="n"/>
      <c r="B345" s="8" t="n"/>
      <c r="C345" s="8" t="n"/>
      <c r="D345" s="8" t="n"/>
      <c r="E345" s="9" t="n"/>
      <c r="F345" s="9" t="n"/>
      <c r="G345" s="8" t="n"/>
      <c r="H345" s="8" t="n"/>
      <c r="I345" s="8" t="n"/>
      <c r="J345" s="8" t="n"/>
    </row>
    <row r="346">
      <c r="A346" s="8" t="n"/>
      <c r="B346" s="8" t="n"/>
      <c r="C346" s="8" t="n"/>
      <c r="D346" s="8" t="n"/>
      <c r="E346" s="9" t="n"/>
      <c r="F346" s="9" t="n"/>
      <c r="G346" s="8" t="n"/>
      <c r="H346" s="8" t="n"/>
      <c r="I346" s="8" t="n"/>
      <c r="J346" s="8" t="n"/>
    </row>
    <row r="347">
      <c r="A347" s="8" t="n"/>
      <c r="B347" s="8" t="n"/>
      <c r="C347" s="8" t="n"/>
      <c r="D347" s="8" t="n"/>
      <c r="E347" s="9" t="n"/>
      <c r="F347" s="9" t="n"/>
      <c r="G347" s="8" t="n"/>
      <c r="H347" s="8" t="n"/>
      <c r="I347" s="8" t="n"/>
      <c r="J347" s="8" t="n"/>
    </row>
    <row r="348">
      <c r="A348" s="8" t="n"/>
      <c r="B348" s="8" t="n"/>
      <c r="C348" s="8" t="n"/>
      <c r="D348" s="8" t="n"/>
      <c r="E348" s="9" t="n"/>
      <c r="F348" s="9" t="n"/>
      <c r="G348" s="8" t="n"/>
      <c r="H348" s="8" t="n"/>
      <c r="I348" s="8" t="n"/>
      <c r="J348" s="8" t="n"/>
    </row>
    <row r="349">
      <c r="A349" s="8" t="n"/>
      <c r="B349" s="8" t="n"/>
      <c r="C349" s="8" t="n"/>
      <c r="D349" s="8" t="n"/>
      <c r="E349" s="9" t="n"/>
      <c r="F349" s="9" t="n"/>
      <c r="G349" s="8" t="n"/>
      <c r="H349" s="8" t="n"/>
      <c r="I349" s="8" t="n"/>
      <c r="J349" s="8" t="n"/>
    </row>
    <row r="350">
      <c r="A350" s="8" t="n"/>
      <c r="B350" s="8" t="n"/>
      <c r="C350" s="8" t="n"/>
      <c r="D350" s="8" t="n"/>
      <c r="E350" s="9" t="n"/>
      <c r="F350" s="9" t="n"/>
      <c r="G350" s="8" t="n"/>
      <c r="H350" s="8" t="n"/>
      <c r="I350" s="8" t="n"/>
      <c r="J350" s="8" t="n"/>
    </row>
    <row r="351">
      <c r="A351" s="8" t="n"/>
      <c r="B351" s="8" t="n"/>
      <c r="C351" s="8" t="n"/>
      <c r="D351" s="8" t="n"/>
      <c r="E351" s="9" t="n"/>
      <c r="F351" s="9" t="n"/>
      <c r="G351" s="8" t="n"/>
      <c r="H351" s="8" t="n"/>
      <c r="I351" s="8" t="n"/>
      <c r="J351" s="8" t="n"/>
    </row>
    <row r="352">
      <c r="A352" s="8" t="n"/>
      <c r="B352" s="8" t="n"/>
      <c r="C352" s="8" t="n"/>
      <c r="D352" s="8" t="n"/>
      <c r="E352" s="9" t="n"/>
      <c r="F352" s="9" t="n"/>
      <c r="G352" s="8" t="n"/>
      <c r="H352" s="8" t="n"/>
      <c r="I352" s="8" t="n"/>
      <c r="J352" s="8" t="n"/>
    </row>
    <row r="353">
      <c r="A353" s="8" t="n"/>
      <c r="B353" s="8" t="n"/>
      <c r="C353" s="8" t="n"/>
      <c r="D353" s="8" t="n"/>
      <c r="E353" s="9" t="n"/>
      <c r="F353" s="9" t="n"/>
      <c r="G353" s="8" t="n"/>
      <c r="H353" s="8" t="n"/>
      <c r="I353" s="8" t="n"/>
      <c r="J353" s="8" t="n"/>
    </row>
    <row r="354">
      <c r="A354" s="8" t="n"/>
      <c r="B354" s="8" t="n"/>
      <c r="C354" s="8" t="n"/>
      <c r="D354" s="8" t="n"/>
      <c r="E354" s="9" t="n"/>
      <c r="F354" s="9" t="n"/>
      <c r="G354" s="8" t="n"/>
      <c r="H354" s="8" t="n"/>
      <c r="I354" s="8" t="n"/>
      <c r="J354" s="8" t="n"/>
    </row>
    <row r="355">
      <c r="A355" s="8" t="n"/>
      <c r="B355" s="8" t="n"/>
      <c r="C355" s="8" t="n"/>
      <c r="D355" s="8" t="n"/>
      <c r="E355" s="9" t="n"/>
      <c r="F355" s="9" t="n"/>
      <c r="G355" s="8" t="n"/>
      <c r="H355" s="8" t="n"/>
      <c r="I355" s="8" t="n"/>
      <c r="J355" s="8" t="n"/>
    </row>
    <row r="356">
      <c r="A356" s="8" t="n"/>
      <c r="B356" s="8" t="n"/>
      <c r="C356" s="8" t="n"/>
      <c r="D356" s="8" t="n"/>
      <c r="E356" s="9" t="n"/>
      <c r="F356" s="9" t="n"/>
      <c r="G356" s="8" t="n"/>
      <c r="H356" s="8" t="n"/>
      <c r="I356" s="8" t="n"/>
      <c r="J356" s="8" t="n"/>
    </row>
    <row r="357">
      <c r="A357" s="8" t="n"/>
      <c r="B357" s="8" t="n"/>
      <c r="C357" s="8" t="n"/>
      <c r="D357" s="8" t="n"/>
      <c r="E357" s="9" t="n"/>
      <c r="F357" s="9" t="n"/>
      <c r="G357" s="8" t="n"/>
      <c r="H357" s="8" t="n"/>
      <c r="I357" s="8" t="n"/>
      <c r="J357" s="8" t="n"/>
    </row>
    <row r="358">
      <c r="A358" s="8" t="n"/>
      <c r="B358" s="8" t="n"/>
      <c r="C358" s="8" t="n"/>
      <c r="D358" s="8" t="n"/>
      <c r="E358" s="9" t="n"/>
      <c r="F358" s="9" t="n"/>
      <c r="G358" s="8" t="n"/>
      <c r="H358" s="8" t="n"/>
      <c r="I358" s="8" t="n"/>
      <c r="J358" s="8" t="n"/>
    </row>
    <row r="359">
      <c r="A359" s="8" t="n"/>
      <c r="B359" s="8" t="n"/>
      <c r="C359" s="8" t="n"/>
      <c r="D359" s="8" t="n"/>
      <c r="E359" s="9" t="n"/>
      <c r="F359" s="9" t="n"/>
      <c r="G359" s="8" t="n"/>
      <c r="H359" s="8" t="n"/>
      <c r="I359" s="8" t="n"/>
      <c r="J359" s="8" t="n"/>
    </row>
    <row r="360">
      <c r="A360" s="8" t="n"/>
      <c r="B360" s="8" t="n"/>
      <c r="C360" s="8" t="n"/>
      <c r="D360" s="8" t="n"/>
      <c r="E360" s="9" t="n"/>
      <c r="F360" s="9" t="n"/>
      <c r="G360" s="8" t="n"/>
      <c r="H360" s="8" t="n"/>
      <c r="I360" s="8" t="n"/>
      <c r="J360" s="8" t="n"/>
    </row>
    <row r="361">
      <c r="A361" s="8" t="n"/>
      <c r="B361" s="8" t="n"/>
      <c r="C361" s="8" t="n"/>
      <c r="D361" s="8" t="n"/>
      <c r="E361" s="9" t="n"/>
      <c r="F361" s="9" t="n"/>
      <c r="G361" s="8" t="n"/>
      <c r="H361" s="8" t="n"/>
      <c r="I361" s="8" t="n"/>
      <c r="J361" s="8" t="n"/>
    </row>
    <row r="362">
      <c r="A362" s="8" t="n"/>
      <c r="B362" s="8" t="n"/>
      <c r="C362" s="8" t="n"/>
      <c r="D362" s="8" t="n"/>
      <c r="E362" s="9" t="n"/>
      <c r="F362" s="9" t="n"/>
      <c r="G362" s="8" t="n"/>
      <c r="H362" s="8" t="n"/>
      <c r="I362" s="8" t="n"/>
      <c r="J362" s="8" t="n"/>
    </row>
    <row r="363">
      <c r="A363" s="8" t="n"/>
      <c r="B363" s="8" t="n"/>
      <c r="C363" s="8" t="n"/>
      <c r="D363" s="8" t="n"/>
      <c r="E363" s="9" t="n"/>
      <c r="F363" s="9" t="n"/>
      <c r="G363" s="8" t="n"/>
      <c r="H363" s="8" t="n"/>
      <c r="I363" s="8" t="n"/>
      <c r="J363" s="8" t="n"/>
    </row>
    <row r="364">
      <c r="A364" s="8" t="n"/>
      <c r="B364" s="8" t="n"/>
      <c r="C364" s="8" t="n"/>
      <c r="D364" s="8" t="n"/>
      <c r="E364" s="9" t="n"/>
      <c r="F364" s="9" t="n"/>
      <c r="G364" s="8" t="n"/>
      <c r="H364" s="8" t="n"/>
      <c r="I364" s="8" t="n"/>
      <c r="J364" s="8" t="n"/>
    </row>
    <row r="365">
      <c r="A365" s="8" t="n"/>
      <c r="B365" s="8" t="n"/>
      <c r="C365" s="8" t="n"/>
      <c r="D365" s="8" t="n"/>
      <c r="E365" s="9" t="n"/>
      <c r="F365" s="9" t="n"/>
      <c r="G365" s="8" t="n"/>
      <c r="H365" s="8" t="n"/>
      <c r="I365" s="8" t="n"/>
      <c r="J365" s="8" t="n"/>
    </row>
    <row r="366">
      <c r="A366" s="8" t="n"/>
      <c r="B366" s="8" t="n"/>
      <c r="C366" s="8" t="n"/>
      <c r="D366" s="8" t="n"/>
      <c r="E366" s="9" t="n"/>
      <c r="F366" s="9" t="n"/>
      <c r="G366" s="8" t="n"/>
      <c r="H366" s="8" t="n"/>
      <c r="I366" s="8" t="n"/>
      <c r="J366" s="8" t="n"/>
    </row>
    <row r="367">
      <c r="A367" s="8" t="n"/>
      <c r="B367" s="8" t="n"/>
      <c r="C367" s="8" t="n"/>
      <c r="D367" s="8" t="n"/>
      <c r="E367" s="9" t="n"/>
      <c r="F367" s="9" t="n"/>
      <c r="G367" s="8" t="n"/>
      <c r="H367" s="8" t="n"/>
      <c r="I367" s="8" t="n"/>
      <c r="J367" s="8" t="n"/>
    </row>
    <row r="368">
      <c r="A368" s="8" t="n"/>
      <c r="B368" s="8" t="n"/>
      <c r="C368" s="8" t="n"/>
      <c r="D368" s="8" t="n"/>
      <c r="E368" s="9" t="n"/>
      <c r="F368" s="9" t="n"/>
      <c r="G368" s="8" t="n"/>
      <c r="H368" s="8" t="n"/>
      <c r="I368" s="8" t="n"/>
      <c r="J368" s="8" t="n"/>
    </row>
    <row r="369">
      <c r="A369" s="8" t="n"/>
      <c r="B369" s="8" t="n"/>
      <c r="C369" s="8" t="n"/>
      <c r="D369" s="8" t="n"/>
      <c r="E369" s="9" t="n"/>
      <c r="F369" s="9" t="n"/>
      <c r="G369" s="8" t="n"/>
      <c r="H369" s="8" t="n"/>
      <c r="I369" s="8" t="n"/>
      <c r="J369" s="8" t="n"/>
    </row>
    <row r="370">
      <c r="A370" s="8" t="n"/>
      <c r="B370" s="8" t="n"/>
      <c r="C370" s="8" t="n"/>
      <c r="D370" s="8" t="n"/>
      <c r="E370" s="9" t="n"/>
      <c r="F370" s="9" t="n"/>
      <c r="G370" s="8" t="n"/>
      <c r="H370" s="8" t="n"/>
      <c r="I370" s="8" t="n"/>
      <c r="J370" s="8" t="n"/>
    </row>
    <row r="371">
      <c r="A371" s="8" t="n"/>
      <c r="B371" s="8" t="n"/>
      <c r="C371" s="8" t="n"/>
      <c r="D371" s="8" t="n"/>
      <c r="E371" s="9" t="n"/>
      <c r="F371" s="9" t="n"/>
      <c r="G371" s="8" t="n"/>
      <c r="H371" s="8" t="n"/>
      <c r="I371" s="8" t="n"/>
      <c r="J371" s="8" t="n"/>
    </row>
    <row r="372">
      <c r="A372" s="8" t="n"/>
      <c r="B372" s="8" t="n"/>
      <c r="C372" s="8" t="n"/>
      <c r="D372" s="8" t="n"/>
      <c r="E372" s="9" t="n"/>
      <c r="F372" s="9" t="n"/>
      <c r="G372" s="8" t="n"/>
      <c r="H372" s="8" t="n"/>
      <c r="I372" s="8" t="n"/>
      <c r="J372" s="8" t="n"/>
    </row>
    <row r="373">
      <c r="A373" s="8" t="n"/>
      <c r="B373" s="8" t="n"/>
      <c r="C373" s="8" t="n"/>
      <c r="D373" s="8" t="n"/>
      <c r="E373" s="9" t="n"/>
      <c r="F373" s="9" t="n"/>
      <c r="G373" s="8" t="n"/>
      <c r="H373" s="8" t="n"/>
      <c r="I373" s="8" t="n"/>
      <c r="J373" s="8" t="n"/>
    </row>
    <row r="374">
      <c r="A374" s="8" t="n"/>
      <c r="B374" s="8" t="n"/>
      <c r="C374" s="8" t="n"/>
      <c r="D374" s="8" t="n"/>
      <c r="E374" s="9" t="n"/>
      <c r="F374" s="9" t="n"/>
      <c r="G374" s="8" t="n"/>
      <c r="H374" s="8" t="n"/>
      <c r="I374" s="8" t="n"/>
      <c r="J374" s="8" t="n"/>
    </row>
    <row r="375">
      <c r="A375" s="8" t="n"/>
      <c r="B375" s="8" t="n"/>
      <c r="C375" s="8" t="n"/>
      <c r="D375" s="8" t="n"/>
      <c r="E375" s="9" t="n"/>
      <c r="F375" s="9" t="n"/>
      <c r="G375" s="8" t="n"/>
      <c r="H375" s="8" t="n"/>
      <c r="I375" s="8" t="n"/>
      <c r="J375" s="8" t="n"/>
    </row>
    <row r="376">
      <c r="A376" s="8" t="n"/>
      <c r="B376" s="8" t="n"/>
      <c r="C376" s="8" t="n"/>
      <c r="D376" s="8" t="n"/>
      <c r="E376" s="9" t="n"/>
      <c r="F376" s="9" t="n"/>
      <c r="G376" s="8" t="n"/>
      <c r="H376" s="8" t="n"/>
      <c r="I376" s="8" t="n"/>
      <c r="J376" s="8" t="n"/>
    </row>
    <row r="377">
      <c r="A377" s="8" t="n"/>
      <c r="B377" s="8" t="n"/>
      <c r="C377" s="8" t="n"/>
      <c r="D377" s="8" t="n"/>
      <c r="E377" s="9" t="n"/>
      <c r="F377" s="9" t="n"/>
      <c r="G377" s="8" t="n"/>
      <c r="H377" s="8" t="n"/>
      <c r="I377" s="8" t="n"/>
      <c r="J377" s="8" t="n"/>
    </row>
    <row r="378">
      <c r="A378" s="8" t="n"/>
      <c r="B378" s="8" t="n"/>
      <c r="C378" s="8" t="n"/>
      <c r="D378" s="8" t="n"/>
      <c r="E378" s="9" t="n"/>
      <c r="F378" s="9" t="n"/>
      <c r="G378" s="8" t="n"/>
      <c r="H378" s="8" t="n"/>
      <c r="I378" s="8" t="n"/>
      <c r="J378" s="8" t="n"/>
    </row>
    <row r="379">
      <c r="A379" s="8" t="n"/>
      <c r="B379" s="8" t="n"/>
      <c r="C379" s="8" t="n"/>
      <c r="D379" s="8" t="n"/>
      <c r="E379" s="9" t="n"/>
      <c r="F379" s="9" t="n"/>
      <c r="G379" s="8" t="n"/>
      <c r="H379" s="8" t="n"/>
      <c r="I379" s="8" t="n"/>
      <c r="J379" s="8" t="n"/>
    </row>
    <row r="380">
      <c r="A380" s="8" t="n"/>
      <c r="B380" s="8" t="n"/>
      <c r="C380" s="8" t="n"/>
      <c r="D380" s="8" t="n"/>
      <c r="E380" s="9" t="n"/>
      <c r="F380" s="9" t="n"/>
      <c r="G380" s="8" t="n"/>
      <c r="H380" s="8" t="n"/>
      <c r="I380" s="8" t="n"/>
      <c r="J380" s="8" t="n"/>
    </row>
    <row r="381">
      <c r="A381" s="8" t="n"/>
      <c r="B381" s="8" t="n"/>
      <c r="C381" s="8" t="n"/>
      <c r="D381" s="8" t="n"/>
      <c r="E381" s="9" t="n"/>
      <c r="F381" s="9" t="n"/>
      <c r="G381" s="8" t="n"/>
      <c r="H381" s="8" t="n"/>
      <c r="I381" s="8" t="n"/>
      <c r="J381" s="8" t="n"/>
    </row>
    <row r="382">
      <c r="A382" s="8" t="n"/>
      <c r="B382" s="8" t="n"/>
      <c r="C382" s="8" t="n"/>
      <c r="D382" s="8" t="n"/>
      <c r="E382" s="9" t="n"/>
      <c r="F382" s="9" t="n"/>
      <c r="G382" s="8" t="n"/>
      <c r="H382" s="8" t="n"/>
      <c r="I382" s="8" t="n"/>
      <c r="J382" s="8" t="n"/>
    </row>
    <row r="383">
      <c r="A383" s="8" t="n"/>
      <c r="B383" s="8" t="n"/>
      <c r="C383" s="8" t="n"/>
      <c r="D383" s="8" t="n"/>
      <c r="E383" s="9" t="n"/>
      <c r="F383" s="9" t="n"/>
      <c r="G383" s="8" t="n"/>
      <c r="H383" s="8" t="n"/>
      <c r="I383" s="8" t="n"/>
      <c r="J383" s="8" t="n"/>
    </row>
    <row r="384">
      <c r="A384" s="8" t="n"/>
      <c r="B384" s="8" t="n"/>
      <c r="C384" s="8" t="n"/>
      <c r="D384" s="8" t="n"/>
      <c r="E384" s="9" t="n"/>
      <c r="F384" s="9" t="n"/>
      <c r="G384" s="8" t="n"/>
      <c r="H384" s="8" t="n"/>
      <c r="I384" s="8" t="n"/>
      <c r="J384" s="8" t="n"/>
    </row>
    <row r="385">
      <c r="A385" s="8" t="n"/>
      <c r="B385" s="8" t="n"/>
      <c r="C385" s="8" t="n"/>
      <c r="D385" s="8" t="n"/>
      <c r="E385" s="9" t="n"/>
      <c r="F385" s="9" t="n"/>
      <c r="G385" s="8" t="n"/>
      <c r="H385" s="8" t="n"/>
      <c r="I385" s="8" t="n"/>
      <c r="J385" s="8" t="n"/>
    </row>
    <row r="386">
      <c r="A386" s="8" t="n"/>
      <c r="B386" s="8" t="n"/>
      <c r="C386" s="8" t="n"/>
      <c r="D386" s="8" t="n"/>
      <c r="E386" s="9" t="n"/>
      <c r="F386" s="9" t="n"/>
      <c r="G386" s="8" t="n"/>
      <c r="H386" s="8" t="n"/>
      <c r="I386" s="8" t="n"/>
      <c r="J386" s="8" t="n"/>
    </row>
    <row r="387">
      <c r="A387" s="8" t="n"/>
      <c r="B387" s="8" t="n"/>
      <c r="C387" s="8" t="n"/>
      <c r="D387" s="8" t="n"/>
      <c r="E387" s="9" t="n"/>
      <c r="F387" s="9" t="n"/>
      <c r="G387" s="8" t="n"/>
      <c r="H387" s="8" t="n"/>
      <c r="I387" s="8" t="n"/>
      <c r="J387" s="8" t="n"/>
    </row>
    <row r="388">
      <c r="A388" s="8" t="n"/>
      <c r="B388" s="8" t="n"/>
      <c r="C388" s="8" t="n"/>
      <c r="D388" s="8" t="n"/>
      <c r="E388" s="9" t="n"/>
      <c r="F388" s="9" t="n"/>
      <c r="G388" s="8" t="n"/>
      <c r="H388" s="8" t="n"/>
      <c r="I388" s="8" t="n"/>
      <c r="J388" s="8" t="n"/>
    </row>
    <row r="389">
      <c r="A389" s="8" t="n"/>
      <c r="B389" s="8" t="n"/>
      <c r="C389" s="8" t="n"/>
      <c r="D389" s="8" t="n"/>
      <c r="E389" s="9" t="n"/>
      <c r="F389" s="9" t="n"/>
      <c r="G389" s="8" t="n"/>
      <c r="H389" s="8" t="n"/>
      <c r="I389" s="8" t="n"/>
      <c r="J389" s="8" t="n"/>
    </row>
    <row r="390">
      <c r="A390" s="8" t="n"/>
      <c r="B390" s="8" t="n"/>
      <c r="C390" s="8" t="n"/>
      <c r="D390" s="8" t="n"/>
      <c r="E390" s="9" t="n"/>
      <c r="F390" s="9" t="n"/>
      <c r="G390" s="8" t="n"/>
      <c r="H390" s="8" t="n"/>
      <c r="I390" s="8" t="n"/>
      <c r="J390" s="8" t="n"/>
    </row>
    <row r="391">
      <c r="A391" s="8" t="n"/>
      <c r="B391" s="8" t="n"/>
      <c r="C391" s="8" t="n"/>
      <c r="D391" s="8" t="n"/>
      <c r="E391" s="9" t="n"/>
      <c r="F391" s="9" t="n"/>
      <c r="G391" s="8" t="n"/>
      <c r="H391" s="8" t="n"/>
      <c r="I391" s="8" t="n"/>
      <c r="J391" s="8" t="n"/>
    </row>
    <row r="392">
      <c r="A392" s="8" t="n"/>
      <c r="B392" s="8" t="n"/>
      <c r="C392" s="8" t="n"/>
      <c r="D392" s="8" t="n"/>
      <c r="E392" s="9" t="n"/>
      <c r="F392" s="9" t="n"/>
      <c r="G392" s="8" t="n"/>
      <c r="H392" s="8" t="n"/>
      <c r="I392" s="8" t="n"/>
      <c r="J392" s="8" t="n"/>
    </row>
    <row r="393">
      <c r="A393" s="8" t="n"/>
      <c r="B393" s="8" t="n"/>
      <c r="C393" s="8" t="n"/>
      <c r="D393" s="8" t="n"/>
      <c r="E393" s="9" t="n"/>
      <c r="F393" s="9" t="n"/>
      <c r="G393" s="8" t="n"/>
      <c r="H393" s="8" t="n"/>
      <c r="I393" s="8" t="n"/>
      <c r="J393" s="8" t="n"/>
    </row>
    <row r="394">
      <c r="A394" s="8" t="n"/>
      <c r="B394" s="8" t="n"/>
      <c r="C394" s="8" t="n"/>
      <c r="D394" s="8" t="n"/>
      <c r="E394" s="9" t="n"/>
      <c r="F394" s="9" t="n"/>
      <c r="G394" s="8" t="n"/>
      <c r="H394" s="8" t="n"/>
      <c r="I394" s="8" t="n"/>
      <c r="J394" s="8" t="n"/>
    </row>
    <row r="395">
      <c r="A395" s="8" t="n"/>
      <c r="B395" s="8" t="n"/>
      <c r="C395" s="8" t="n"/>
      <c r="D395" s="8" t="n"/>
      <c r="E395" s="9" t="n"/>
      <c r="F395" s="9" t="n"/>
      <c r="G395" s="8" t="n"/>
      <c r="H395" s="8" t="n"/>
      <c r="I395" s="8" t="n"/>
      <c r="J395" s="8" t="n"/>
    </row>
    <row r="396">
      <c r="A396" s="8" t="n"/>
      <c r="B396" s="8" t="n"/>
      <c r="C396" s="8" t="n"/>
      <c r="D396" s="8" t="n"/>
      <c r="E396" s="9" t="n"/>
      <c r="F396" s="9" t="n"/>
      <c r="G396" s="8" t="n"/>
      <c r="H396" s="8" t="n"/>
      <c r="I396" s="8" t="n"/>
      <c r="J396" s="8" t="n"/>
    </row>
    <row r="397">
      <c r="A397" s="8" t="n"/>
      <c r="B397" s="8" t="n"/>
      <c r="C397" s="8" t="n"/>
      <c r="D397" s="8" t="n"/>
      <c r="E397" s="9" t="n"/>
      <c r="F397" s="9" t="n"/>
      <c r="G397" s="8" t="n"/>
      <c r="H397" s="8" t="n"/>
      <c r="I397" s="8" t="n"/>
      <c r="J397" s="8" t="n"/>
    </row>
    <row r="398">
      <c r="A398" s="8" t="n"/>
      <c r="B398" s="8" t="n"/>
      <c r="C398" s="8" t="n"/>
      <c r="D398" s="8" t="n"/>
      <c r="E398" s="9" t="n"/>
      <c r="F398" s="9" t="n"/>
      <c r="G398" s="8" t="n"/>
      <c r="H398" s="8" t="n"/>
      <c r="I398" s="8" t="n"/>
      <c r="J398" s="8" t="n"/>
    </row>
    <row r="399">
      <c r="A399" s="8" t="n"/>
      <c r="B399" s="8" t="n"/>
      <c r="C399" s="8" t="n"/>
      <c r="D399" s="8" t="n"/>
      <c r="E399" s="9" t="n"/>
      <c r="F399" s="9" t="n"/>
      <c r="G399" s="8" t="n"/>
      <c r="H399" s="8" t="n"/>
      <c r="I399" s="8" t="n"/>
      <c r="J399" s="8" t="n"/>
    </row>
    <row r="400">
      <c r="A400" s="8" t="n"/>
      <c r="B400" s="8" t="n"/>
      <c r="C400" s="8" t="n"/>
      <c r="D400" s="8" t="n"/>
      <c r="E400" s="9" t="n"/>
      <c r="F400" s="9" t="n"/>
      <c r="G400" s="8" t="n"/>
      <c r="H400" s="8" t="n"/>
      <c r="I400" s="8" t="n"/>
      <c r="J400" s="8" t="n"/>
    </row>
    <row r="401">
      <c r="A401" s="8" t="n"/>
      <c r="B401" s="8" t="n"/>
      <c r="C401" s="8" t="n"/>
      <c r="D401" s="8" t="n"/>
      <c r="E401" s="9" t="n"/>
      <c r="F401" s="9" t="n"/>
      <c r="G401" s="8" t="n"/>
      <c r="H401" s="8" t="n"/>
      <c r="I401" s="8" t="n"/>
      <c r="J401" s="8" t="n"/>
    </row>
    <row r="402">
      <c r="A402" s="8" t="n"/>
      <c r="B402" s="8" t="n"/>
      <c r="C402" s="8" t="n"/>
      <c r="D402" s="8" t="n"/>
      <c r="E402" s="9" t="n"/>
      <c r="F402" s="9" t="n"/>
      <c r="G402" s="8" t="n"/>
      <c r="H402" s="8" t="n"/>
      <c r="I402" s="8" t="n"/>
      <c r="J402" s="8" t="n"/>
    </row>
    <row r="403">
      <c r="A403" s="8" t="n"/>
      <c r="B403" s="8" t="n"/>
      <c r="C403" s="8" t="n"/>
      <c r="D403" s="8" t="n"/>
      <c r="E403" s="9" t="n"/>
      <c r="F403" s="9" t="n"/>
      <c r="G403" s="8" t="n"/>
      <c r="H403" s="8" t="n"/>
      <c r="I403" s="8" t="n"/>
      <c r="J403" s="8" t="n"/>
    </row>
    <row r="404">
      <c r="A404" s="8" t="n"/>
      <c r="B404" s="8" t="n"/>
      <c r="C404" s="8" t="n"/>
      <c r="D404" s="8" t="n"/>
      <c r="E404" s="9" t="n"/>
      <c r="F404" s="9" t="n"/>
      <c r="G404" s="8" t="n"/>
      <c r="H404" s="8" t="n"/>
      <c r="I404" s="8" t="n"/>
      <c r="J404" s="8" t="n"/>
    </row>
    <row r="405">
      <c r="A405" s="8" t="n"/>
      <c r="B405" s="8" t="n"/>
      <c r="C405" s="8" t="n"/>
      <c r="D405" s="8" t="n"/>
      <c r="E405" s="9" t="n"/>
      <c r="F405" s="9" t="n"/>
      <c r="G405" s="8" t="n"/>
      <c r="H405" s="8" t="n"/>
      <c r="I405" s="8" t="n"/>
      <c r="J405" s="8" t="n"/>
    </row>
    <row r="406">
      <c r="A406" s="8" t="n"/>
      <c r="B406" s="8" t="n"/>
      <c r="C406" s="8" t="n"/>
      <c r="D406" s="8" t="n"/>
      <c r="E406" s="9" t="n"/>
      <c r="F406" s="9" t="n"/>
      <c r="G406" s="8" t="n"/>
      <c r="H406" s="8" t="n"/>
      <c r="I406" s="8" t="n"/>
      <c r="J406" s="8" t="n"/>
    </row>
    <row r="407">
      <c r="A407" s="8" t="n"/>
      <c r="B407" s="8" t="n"/>
      <c r="C407" s="8" t="n"/>
      <c r="D407" s="8" t="n"/>
      <c r="E407" s="9" t="n"/>
      <c r="F407" s="9" t="n"/>
      <c r="G407" s="8" t="n"/>
      <c r="H407" s="8" t="n"/>
      <c r="I407" s="8" t="n"/>
      <c r="J407" s="8" t="n"/>
    </row>
    <row r="408">
      <c r="A408" s="8" t="n"/>
      <c r="B408" s="8" t="n"/>
      <c r="C408" s="8" t="n"/>
      <c r="D408" s="8" t="n"/>
      <c r="E408" s="9" t="n"/>
      <c r="F408" s="9" t="n"/>
      <c r="G408" s="8" t="n"/>
      <c r="H408" s="8" t="n"/>
      <c r="I408" s="8" t="n"/>
      <c r="J408" s="8" t="n"/>
    </row>
    <row r="409">
      <c r="A409" s="8" t="n"/>
      <c r="B409" s="8" t="n"/>
      <c r="C409" s="8" t="n"/>
      <c r="D409" s="8" t="n"/>
      <c r="E409" s="9" t="n"/>
      <c r="F409" s="9" t="n"/>
      <c r="G409" s="8" t="n"/>
      <c r="H409" s="8" t="n"/>
      <c r="I409" s="8" t="n"/>
      <c r="J409" s="8" t="n"/>
    </row>
    <row r="410">
      <c r="A410" s="8" t="n"/>
      <c r="B410" s="8" t="n"/>
      <c r="C410" s="8" t="n"/>
      <c r="D410" s="8" t="n"/>
      <c r="E410" s="9" t="n"/>
      <c r="F410" s="9" t="n"/>
      <c r="G410" s="8" t="n"/>
      <c r="H410" s="8" t="n"/>
      <c r="I410" s="8" t="n"/>
      <c r="J410" s="8" t="n"/>
    </row>
    <row r="411">
      <c r="A411" s="8" t="n"/>
      <c r="B411" s="8" t="n"/>
      <c r="C411" s="8" t="n"/>
      <c r="D411" s="8" t="n"/>
      <c r="E411" s="9" t="n"/>
      <c r="F411" s="9" t="n"/>
      <c r="G411" s="8" t="n"/>
      <c r="H411" s="8" t="n"/>
      <c r="I411" s="8" t="n"/>
      <c r="J411" s="8" t="n"/>
    </row>
    <row r="412">
      <c r="A412" s="8" t="n"/>
      <c r="B412" s="8" t="n"/>
      <c r="C412" s="8" t="n"/>
      <c r="D412" s="8" t="n"/>
      <c r="E412" s="9" t="n"/>
      <c r="F412" s="9" t="n"/>
      <c r="G412" s="8" t="n"/>
      <c r="H412" s="8" t="n"/>
      <c r="I412" s="8" t="n"/>
      <c r="J412" s="8" t="n"/>
    </row>
    <row r="413">
      <c r="A413" s="8" t="n"/>
      <c r="B413" s="8" t="n"/>
      <c r="C413" s="8" t="n"/>
      <c r="D413" s="8" t="n"/>
      <c r="E413" s="9" t="n"/>
      <c r="F413" s="9" t="n"/>
      <c r="G413" s="8" t="n"/>
      <c r="H413" s="8" t="n"/>
      <c r="I413" s="8" t="n"/>
      <c r="J413" s="8" t="n"/>
    </row>
    <row r="414">
      <c r="A414" s="8" t="n"/>
      <c r="B414" s="8" t="n"/>
      <c r="C414" s="8" t="n"/>
      <c r="D414" s="8" t="n"/>
      <c r="E414" s="9" t="n"/>
      <c r="F414" s="9" t="n"/>
      <c r="G414" s="8" t="n"/>
      <c r="H414" s="8" t="n"/>
      <c r="I414" s="8" t="n"/>
      <c r="J414" s="8" t="n"/>
    </row>
    <row r="415">
      <c r="A415" s="8" t="n"/>
      <c r="B415" s="8" t="n"/>
      <c r="C415" s="8" t="n"/>
      <c r="D415" s="8" t="n"/>
      <c r="E415" s="9" t="n"/>
      <c r="F415" s="9" t="n"/>
      <c r="G415" s="8" t="n"/>
      <c r="H415" s="8" t="n"/>
      <c r="I415" s="8" t="n"/>
      <c r="J415" s="8" t="n"/>
    </row>
    <row r="416">
      <c r="A416" s="8" t="n"/>
      <c r="B416" s="8" t="n"/>
      <c r="C416" s="8" t="n"/>
      <c r="D416" s="8" t="n"/>
      <c r="E416" s="9" t="n"/>
      <c r="F416" s="9" t="n"/>
      <c r="G416" s="8" t="n"/>
      <c r="H416" s="8" t="n"/>
      <c r="I416" s="8" t="n"/>
      <c r="J416" s="8" t="n"/>
    </row>
    <row r="417">
      <c r="A417" s="8" t="n"/>
      <c r="B417" s="8" t="n"/>
      <c r="C417" s="8" t="n"/>
      <c r="D417" s="8" t="n"/>
      <c r="E417" s="9" t="n"/>
      <c r="F417" s="9" t="n"/>
      <c r="G417" s="8" t="n"/>
      <c r="H417" s="8" t="n"/>
      <c r="I417" s="8" t="n"/>
      <c r="J417" s="8" t="n"/>
    </row>
    <row r="418">
      <c r="A418" s="8" t="n"/>
      <c r="B418" s="8" t="n"/>
      <c r="C418" s="8" t="n"/>
      <c r="D418" s="8" t="n"/>
      <c r="E418" s="9" t="n"/>
      <c r="F418" s="9" t="n"/>
      <c r="G418" s="8" t="n"/>
      <c r="H418" s="8" t="n"/>
      <c r="I418" s="8" t="n"/>
      <c r="J418" s="8" t="n"/>
    </row>
    <row r="419">
      <c r="A419" s="8" t="n"/>
      <c r="B419" s="8" t="n"/>
      <c r="C419" s="8" t="n"/>
      <c r="D419" s="8" t="n"/>
      <c r="E419" s="9" t="n"/>
      <c r="F419" s="9" t="n"/>
      <c r="G419" s="8" t="n"/>
      <c r="H419" s="8" t="n"/>
      <c r="I419" s="8" t="n"/>
      <c r="J419" s="8" t="n"/>
    </row>
    <row r="420">
      <c r="A420" s="8" t="n"/>
      <c r="B420" s="8" t="n"/>
      <c r="C420" s="8" t="n"/>
      <c r="D420" s="8" t="n"/>
      <c r="E420" s="9" t="n"/>
      <c r="F420" s="9" t="n"/>
      <c r="G420" s="8" t="n"/>
      <c r="H420" s="8" t="n"/>
      <c r="I420" s="8" t="n"/>
      <c r="J420" s="8" t="n"/>
    </row>
    <row r="421">
      <c r="A421" s="8" t="n"/>
      <c r="B421" s="8" t="n"/>
      <c r="C421" s="8" t="n"/>
      <c r="D421" s="8" t="n"/>
      <c r="E421" s="9" t="n"/>
      <c r="F421" s="9" t="n"/>
      <c r="G421" s="8" t="n"/>
      <c r="H421" s="8" t="n"/>
      <c r="I421" s="8" t="n"/>
      <c r="J421" s="8" t="n"/>
    </row>
    <row r="422">
      <c r="A422" s="8" t="n"/>
      <c r="B422" s="8" t="n"/>
      <c r="C422" s="8" t="n"/>
      <c r="D422" s="8" t="n"/>
      <c r="E422" s="9" t="n"/>
      <c r="F422" s="9" t="n"/>
      <c r="G422" s="8" t="n"/>
      <c r="H422" s="8" t="n"/>
      <c r="I422" s="8" t="n"/>
      <c r="J422" s="8" t="n"/>
    </row>
    <row r="423">
      <c r="A423" s="8" t="n"/>
      <c r="B423" s="8" t="n"/>
      <c r="C423" s="8" t="n"/>
      <c r="D423" s="8" t="n"/>
      <c r="E423" s="9" t="n"/>
      <c r="F423" s="9" t="n"/>
      <c r="G423" s="8" t="n"/>
      <c r="H423" s="8" t="n"/>
      <c r="I423" s="8" t="n"/>
      <c r="J423" s="8" t="n"/>
    </row>
    <row r="424">
      <c r="A424" s="8" t="n"/>
      <c r="B424" s="8" t="n"/>
      <c r="C424" s="8" t="n"/>
      <c r="D424" s="8" t="n"/>
      <c r="E424" s="9" t="n"/>
      <c r="F424" s="9" t="n"/>
      <c r="G424" s="8" t="n"/>
      <c r="H424" s="8" t="n"/>
      <c r="I424" s="8" t="n"/>
      <c r="J424" s="8" t="n"/>
    </row>
    <row r="425">
      <c r="A425" s="8" t="n"/>
      <c r="B425" s="8" t="n"/>
      <c r="C425" s="8" t="n"/>
      <c r="D425" s="8" t="n"/>
      <c r="E425" s="9" t="n"/>
      <c r="F425" s="9" t="n"/>
      <c r="G425" s="8" t="n"/>
      <c r="H425" s="8" t="n"/>
      <c r="I425" s="8" t="n"/>
      <c r="J425" s="8" t="n"/>
    </row>
    <row r="426">
      <c r="A426" s="8" t="n"/>
      <c r="B426" s="8" t="n"/>
      <c r="C426" s="8" t="n"/>
      <c r="D426" s="8" t="n"/>
      <c r="E426" s="9" t="n"/>
      <c r="F426" s="9" t="n"/>
      <c r="G426" s="8" t="n"/>
      <c r="H426" s="8" t="n"/>
      <c r="I426" s="8" t="n"/>
      <c r="J426" s="8" t="n"/>
    </row>
    <row r="427">
      <c r="A427" s="8" t="n"/>
      <c r="B427" s="8" t="n"/>
      <c r="C427" s="8" t="n"/>
      <c r="D427" s="8" t="n"/>
      <c r="E427" s="9" t="n"/>
      <c r="F427" s="9" t="n"/>
      <c r="G427" s="8" t="n"/>
      <c r="H427" s="8" t="n"/>
      <c r="I427" s="8" t="n"/>
      <c r="J427" s="8" t="n"/>
    </row>
    <row r="428">
      <c r="A428" s="8" t="n"/>
      <c r="B428" s="8" t="n"/>
      <c r="C428" s="8" t="n"/>
      <c r="D428" s="8" t="n"/>
      <c r="E428" s="9" t="n"/>
      <c r="F428" s="9" t="n"/>
      <c r="G428" s="8" t="n"/>
      <c r="H428" s="8" t="n"/>
      <c r="I428" s="8" t="n"/>
      <c r="J428" s="8" t="n"/>
    </row>
    <row r="429">
      <c r="A429" s="8" t="n"/>
      <c r="B429" s="8" t="n"/>
      <c r="C429" s="8" t="n"/>
      <c r="D429" s="8" t="n"/>
      <c r="E429" s="9" t="n"/>
      <c r="F429" s="9" t="n"/>
      <c r="G429" s="8" t="n"/>
      <c r="H429" s="8" t="n"/>
      <c r="I429" s="8" t="n"/>
      <c r="J429" s="8" t="n"/>
    </row>
    <row r="430">
      <c r="A430" s="8" t="n"/>
      <c r="B430" s="8" t="n"/>
      <c r="C430" s="8" t="n"/>
      <c r="D430" s="8" t="n"/>
      <c r="E430" s="9" t="n"/>
      <c r="F430" s="9" t="n"/>
      <c r="G430" s="8" t="n"/>
      <c r="H430" s="8" t="n"/>
      <c r="I430" s="8" t="n"/>
      <c r="J430" s="8" t="n"/>
    </row>
    <row r="431">
      <c r="A431" s="8" t="n"/>
      <c r="B431" s="8" t="n"/>
      <c r="C431" s="8" t="n"/>
      <c r="D431" s="8" t="n"/>
      <c r="E431" s="9" t="n"/>
      <c r="F431" s="9" t="n"/>
      <c r="G431" s="8" t="n"/>
      <c r="H431" s="8" t="n"/>
      <c r="I431" s="8" t="n"/>
      <c r="J431" s="8" t="n"/>
    </row>
    <row r="432">
      <c r="A432" s="8" t="n"/>
      <c r="B432" s="8" t="n"/>
      <c r="C432" s="8" t="n"/>
      <c r="D432" s="8" t="n"/>
      <c r="E432" s="9" t="n"/>
      <c r="F432" s="9" t="n"/>
      <c r="G432" s="8" t="n"/>
      <c r="H432" s="8" t="n"/>
      <c r="I432" s="8" t="n"/>
      <c r="J432" s="8" t="n"/>
    </row>
    <row r="433">
      <c r="A433" s="8" t="n"/>
      <c r="B433" s="8" t="n"/>
      <c r="C433" s="8" t="n"/>
      <c r="D433" s="8" t="n"/>
      <c r="E433" s="9" t="n"/>
      <c r="F433" s="9" t="n"/>
      <c r="G433" s="8" t="n"/>
      <c r="H433" s="8" t="n"/>
      <c r="I433" s="8" t="n"/>
      <c r="J433" s="8" t="n"/>
    </row>
    <row r="434">
      <c r="A434" s="8" t="n"/>
      <c r="B434" s="8" t="n"/>
      <c r="C434" s="8" t="n"/>
      <c r="D434" s="8" t="n"/>
      <c r="E434" s="9" t="n"/>
      <c r="F434" s="9" t="n"/>
      <c r="G434" s="8" t="n"/>
      <c r="H434" s="8" t="n"/>
      <c r="I434" s="8" t="n"/>
      <c r="J434" s="8" t="n"/>
    </row>
    <row r="435">
      <c r="A435" s="8" t="n"/>
      <c r="B435" s="8" t="n"/>
      <c r="C435" s="8" t="n"/>
      <c r="D435" s="8" t="n"/>
      <c r="E435" s="9" t="n"/>
      <c r="F435" s="9" t="n"/>
      <c r="G435" s="8" t="n"/>
      <c r="H435" s="8" t="n"/>
      <c r="I435" s="8" t="n"/>
      <c r="J435" s="8" t="n"/>
    </row>
    <row r="436">
      <c r="A436" s="8" t="n"/>
      <c r="B436" s="8" t="n"/>
      <c r="C436" s="8" t="n"/>
      <c r="D436" s="8" t="n"/>
      <c r="E436" s="9" t="n"/>
      <c r="F436" s="9" t="n"/>
      <c r="G436" s="8" t="n"/>
      <c r="H436" s="8" t="n"/>
      <c r="I436" s="8" t="n"/>
      <c r="J436" s="8" t="n"/>
    </row>
    <row r="437">
      <c r="A437" s="8" t="n"/>
      <c r="B437" s="8" t="n"/>
      <c r="C437" s="8" t="n"/>
      <c r="D437" s="8" t="n"/>
      <c r="E437" s="9" t="n"/>
      <c r="F437" s="9" t="n"/>
      <c r="G437" s="8" t="n"/>
      <c r="H437" s="8" t="n"/>
      <c r="I437" s="8" t="n"/>
      <c r="J437" s="8" t="n"/>
    </row>
    <row r="438">
      <c r="A438" s="8" t="n"/>
      <c r="B438" s="8" t="n"/>
      <c r="C438" s="8" t="n"/>
      <c r="D438" s="8" t="n"/>
      <c r="E438" s="9" t="n"/>
      <c r="F438" s="9" t="n"/>
      <c r="G438" s="8" t="n"/>
      <c r="H438" s="8" t="n"/>
      <c r="I438" s="8" t="n"/>
      <c r="J438" s="8" t="n"/>
    </row>
    <row r="439">
      <c r="A439" s="8" t="n"/>
      <c r="B439" s="8" t="n"/>
      <c r="C439" s="8" t="n"/>
      <c r="D439" s="8" t="n"/>
      <c r="E439" s="9" t="n"/>
      <c r="F439" s="9" t="n"/>
      <c r="G439" s="8" t="n"/>
      <c r="H439" s="8" t="n"/>
      <c r="I439" s="8" t="n"/>
      <c r="J439" s="8" t="n"/>
    </row>
    <row r="440">
      <c r="A440" s="8" t="n"/>
      <c r="B440" s="8" t="n"/>
      <c r="C440" s="8" t="n"/>
      <c r="D440" s="8" t="n"/>
      <c r="E440" s="9" t="n"/>
      <c r="F440" s="9" t="n"/>
      <c r="G440" s="8" t="n"/>
      <c r="H440" s="8" t="n"/>
      <c r="I440" s="8" t="n"/>
      <c r="J440" s="8" t="n"/>
    </row>
    <row r="441">
      <c r="A441" s="8" t="n"/>
      <c r="B441" s="8" t="n"/>
      <c r="C441" s="8" t="n"/>
      <c r="D441" s="8" t="n"/>
      <c r="E441" s="9" t="n"/>
      <c r="F441" s="9" t="n"/>
      <c r="G441" s="8" t="n"/>
      <c r="H441" s="8" t="n"/>
      <c r="I441" s="8" t="n"/>
      <c r="J441" s="8" t="n"/>
    </row>
    <row r="442">
      <c r="A442" s="8" t="n"/>
      <c r="B442" s="8" t="n"/>
      <c r="C442" s="8" t="n"/>
      <c r="D442" s="8" t="n"/>
      <c r="E442" s="9" t="n"/>
      <c r="F442" s="9" t="n"/>
      <c r="G442" s="8" t="n"/>
      <c r="H442" s="8" t="n"/>
      <c r="I442" s="8" t="n"/>
      <c r="J442" s="8" t="n"/>
    </row>
    <row r="443">
      <c r="A443" s="8" t="n"/>
      <c r="B443" s="8" t="n"/>
      <c r="C443" s="8" t="n"/>
      <c r="D443" s="8" t="n"/>
      <c r="E443" s="9" t="n"/>
      <c r="F443" s="9" t="n"/>
      <c r="G443" s="8" t="n"/>
      <c r="H443" s="8" t="n"/>
      <c r="I443" s="8" t="n"/>
      <c r="J443" s="8" t="n"/>
    </row>
    <row r="444">
      <c r="A444" s="8" t="n"/>
      <c r="B444" s="8" t="n"/>
      <c r="C444" s="8" t="n"/>
      <c r="D444" s="8" t="n"/>
      <c r="E444" s="9" t="n"/>
      <c r="F444" s="9" t="n"/>
      <c r="G444" s="8" t="n"/>
      <c r="H444" s="8" t="n"/>
      <c r="I444" s="8" t="n"/>
      <c r="J444" s="8" t="n"/>
    </row>
    <row r="445">
      <c r="A445" s="8" t="n"/>
      <c r="B445" s="8" t="n"/>
      <c r="C445" s="8" t="n"/>
      <c r="D445" s="8" t="n"/>
      <c r="E445" s="9" t="n"/>
      <c r="F445" s="9" t="n"/>
      <c r="G445" s="8" t="n"/>
      <c r="H445" s="8" t="n"/>
      <c r="I445" s="8" t="n"/>
      <c r="J445" s="8" t="n"/>
    </row>
    <row r="446">
      <c r="A446" s="8" t="n"/>
      <c r="B446" s="8" t="n"/>
      <c r="C446" s="8" t="n"/>
      <c r="D446" s="8" t="n"/>
      <c r="E446" s="9" t="n"/>
      <c r="F446" s="9" t="n"/>
      <c r="G446" s="8" t="n"/>
      <c r="H446" s="8" t="n"/>
      <c r="I446" s="8" t="n"/>
      <c r="J446" s="8" t="n"/>
    </row>
    <row r="447">
      <c r="A447" s="8" t="n"/>
      <c r="B447" s="8" t="n"/>
      <c r="C447" s="8" t="n"/>
      <c r="D447" s="8" t="n"/>
      <c r="E447" s="9" t="n"/>
      <c r="F447" s="9" t="n"/>
      <c r="G447" s="8" t="n"/>
      <c r="H447" s="8" t="n"/>
      <c r="I447" s="8" t="n"/>
      <c r="J447" s="8" t="n"/>
    </row>
    <row r="448">
      <c r="A448" s="8" t="n"/>
      <c r="B448" s="8" t="n"/>
      <c r="C448" s="8" t="n"/>
      <c r="D448" s="8" t="n"/>
      <c r="E448" s="9" t="n"/>
      <c r="F448" s="9" t="n"/>
      <c r="G448" s="8" t="n"/>
      <c r="H448" s="8" t="n"/>
      <c r="I448" s="8" t="n"/>
      <c r="J448" s="8" t="n"/>
    </row>
    <row r="449">
      <c r="A449" s="8" t="n"/>
      <c r="B449" s="8" t="n"/>
      <c r="C449" s="8" t="n"/>
      <c r="D449" s="8" t="n"/>
      <c r="E449" s="9" t="n"/>
      <c r="F449" s="9" t="n"/>
      <c r="G449" s="8" t="n"/>
      <c r="H449" s="8" t="n"/>
      <c r="I449" s="8" t="n"/>
      <c r="J449" s="8" t="n"/>
    </row>
    <row r="450">
      <c r="A450" s="8" t="n"/>
      <c r="B450" s="8" t="n"/>
      <c r="C450" s="8" t="n"/>
      <c r="D450" s="8" t="n"/>
      <c r="E450" s="9" t="n"/>
      <c r="F450" s="9" t="n"/>
      <c r="G450" s="8" t="n"/>
      <c r="H450" s="8" t="n"/>
      <c r="I450" s="8" t="n"/>
      <c r="J450" s="8" t="n"/>
    </row>
    <row r="451">
      <c r="A451" s="8" t="n"/>
      <c r="B451" s="8" t="n"/>
      <c r="C451" s="8" t="n"/>
      <c r="D451" s="8" t="n"/>
      <c r="E451" s="9" t="n"/>
      <c r="F451" s="9" t="n"/>
      <c r="G451" s="8" t="n"/>
      <c r="H451" s="8" t="n"/>
      <c r="I451" s="8" t="n"/>
      <c r="J451" s="8" t="n"/>
    </row>
    <row r="452">
      <c r="A452" s="8" t="n"/>
      <c r="B452" s="8" t="n"/>
      <c r="C452" s="8" t="n"/>
      <c r="D452" s="8" t="n"/>
      <c r="E452" s="9" t="n"/>
      <c r="F452" s="9" t="n"/>
      <c r="G452" s="8" t="n"/>
      <c r="H452" s="8" t="n"/>
      <c r="I452" s="8" t="n"/>
      <c r="J452" s="8" t="n"/>
    </row>
    <row r="453">
      <c r="A453" s="8" t="n"/>
      <c r="B453" s="8" t="n"/>
      <c r="C453" s="8" t="n"/>
      <c r="D453" s="8" t="n"/>
      <c r="E453" s="9" t="n"/>
      <c r="F453" s="9" t="n"/>
      <c r="G453" s="8" t="n"/>
      <c r="H453" s="8" t="n"/>
      <c r="I453" s="8" t="n"/>
      <c r="J453" s="8" t="n"/>
    </row>
    <row r="454">
      <c r="A454" s="8" t="n"/>
      <c r="B454" s="8" t="n"/>
      <c r="C454" s="8" t="n"/>
      <c r="D454" s="8" t="n"/>
      <c r="E454" s="9" t="n"/>
      <c r="F454" s="9" t="n"/>
      <c r="G454" s="8" t="n"/>
      <c r="H454" s="8" t="n"/>
      <c r="I454" s="8" t="n"/>
      <c r="J454" s="8" t="n"/>
    </row>
    <row r="455">
      <c r="A455" s="8" t="n"/>
      <c r="B455" s="8" t="n"/>
      <c r="C455" s="8" t="n"/>
      <c r="D455" s="8" t="n"/>
      <c r="E455" s="9" t="n"/>
      <c r="F455" s="9" t="n"/>
      <c r="G455" s="8" t="n"/>
      <c r="H455" s="8" t="n"/>
      <c r="I455" s="8" t="n"/>
      <c r="J455" s="8" t="n"/>
    </row>
    <row r="456">
      <c r="A456" s="8" t="n"/>
      <c r="B456" s="8" t="n"/>
      <c r="C456" s="8" t="n"/>
      <c r="D456" s="8" t="n"/>
      <c r="E456" s="9" t="n"/>
      <c r="F456" s="9" t="n"/>
      <c r="G456" s="8" t="n"/>
      <c r="H456" s="8" t="n"/>
      <c r="I456" s="8" t="n"/>
      <c r="J456" s="8" t="n"/>
    </row>
    <row r="457">
      <c r="A457" s="8" t="n"/>
      <c r="B457" s="8" t="n"/>
      <c r="C457" s="8" t="n"/>
      <c r="D457" s="8" t="n"/>
      <c r="E457" s="9" t="n"/>
      <c r="F457" s="9" t="n"/>
      <c r="G457" s="8" t="n"/>
      <c r="H457" s="8" t="n"/>
      <c r="I457" s="8" t="n"/>
      <c r="J457" s="8" t="n"/>
    </row>
    <row r="458">
      <c r="A458" s="8" t="n"/>
      <c r="B458" s="8" t="n"/>
      <c r="C458" s="8" t="n"/>
      <c r="D458" s="8" t="n"/>
      <c r="E458" s="9" t="n"/>
      <c r="F458" s="9" t="n"/>
      <c r="G458" s="8" t="n"/>
      <c r="H458" s="8" t="n"/>
      <c r="I458" s="8" t="n"/>
      <c r="J458" s="8" t="n"/>
    </row>
    <row r="459">
      <c r="A459" s="8" t="n"/>
      <c r="B459" s="8" t="n"/>
      <c r="C459" s="8" t="n"/>
      <c r="D459" s="8" t="n"/>
      <c r="E459" s="9" t="n"/>
      <c r="F459" s="9" t="n"/>
      <c r="G459" s="8" t="n"/>
      <c r="H459" s="8" t="n"/>
      <c r="I459" s="8" t="n"/>
      <c r="J459" s="8" t="n"/>
    </row>
    <row r="460">
      <c r="A460" s="8" t="n"/>
      <c r="B460" s="8" t="n"/>
      <c r="C460" s="8" t="n"/>
      <c r="D460" s="8" t="n"/>
      <c r="E460" s="9" t="n"/>
      <c r="F460" s="9" t="n"/>
      <c r="G460" s="8" t="n"/>
      <c r="H460" s="8" t="n"/>
      <c r="I460" s="8" t="n"/>
      <c r="J460" s="8" t="n"/>
    </row>
    <row r="461">
      <c r="A461" s="8" t="n"/>
      <c r="B461" s="8" t="n"/>
      <c r="C461" s="8" t="n"/>
      <c r="D461" s="8" t="n"/>
      <c r="E461" s="9" t="n"/>
      <c r="F461" s="9" t="n"/>
      <c r="G461" s="8" t="n"/>
      <c r="H461" s="8" t="n"/>
      <c r="I461" s="8" t="n"/>
      <c r="J461" s="8" t="n"/>
    </row>
    <row r="462">
      <c r="A462" s="8" t="n"/>
      <c r="B462" s="8" t="n"/>
      <c r="C462" s="8" t="n"/>
      <c r="D462" s="8" t="n"/>
      <c r="E462" s="9" t="n"/>
      <c r="F462" s="9" t="n"/>
      <c r="G462" s="8" t="n"/>
      <c r="H462" s="8" t="n"/>
      <c r="I462" s="8" t="n"/>
      <c r="J462" s="8" t="n"/>
    </row>
    <row r="463">
      <c r="A463" s="8" t="n"/>
      <c r="B463" s="8" t="n"/>
      <c r="C463" s="8" t="n"/>
      <c r="D463" s="8" t="n"/>
      <c r="E463" s="9" t="n"/>
      <c r="F463" s="9" t="n"/>
      <c r="G463" s="8" t="n"/>
      <c r="H463" s="8" t="n"/>
      <c r="I463" s="8" t="n"/>
      <c r="J463" s="8" t="n"/>
    </row>
    <row r="464">
      <c r="A464" s="8" t="n"/>
      <c r="B464" s="8" t="n"/>
      <c r="C464" s="8" t="n"/>
      <c r="D464" s="8" t="n"/>
      <c r="E464" s="9" t="n"/>
      <c r="F464" s="9" t="n"/>
      <c r="G464" s="8" t="n"/>
      <c r="H464" s="8" t="n"/>
      <c r="I464" s="8" t="n"/>
      <c r="J464" s="8" t="n"/>
    </row>
    <row r="465">
      <c r="A465" s="8" t="n"/>
      <c r="B465" s="8" t="n"/>
      <c r="C465" s="8" t="n"/>
      <c r="D465" s="8" t="n"/>
      <c r="E465" s="9" t="n"/>
      <c r="F465" s="9" t="n"/>
      <c r="G465" s="8" t="n"/>
      <c r="H465" s="8" t="n"/>
      <c r="I465" s="8" t="n"/>
      <c r="J465" s="8" t="n"/>
    </row>
    <row r="466">
      <c r="A466" s="8" t="n"/>
      <c r="B466" s="8" t="n"/>
      <c r="C466" s="8" t="n"/>
      <c r="D466" s="8" t="n"/>
      <c r="E466" s="9" t="n"/>
      <c r="F466" s="9" t="n"/>
      <c r="G466" s="8" t="n"/>
      <c r="H466" s="8" t="n"/>
      <c r="I466" s="8" t="n"/>
      <c r="J466" s="8" t="n"/>
    </row>
    <row r="467">
      <c r="A467" s="8" t="n"/>
      <c r="B467" s="8" t="n"/>
      <c r="C467" s="8" t="n"/>
      <c r="D467" s="8" t="n"/>
      <c r="E467" s="9" t="n"/>
      <c r="F467" s="9" t="n"/>
      <c r="G467" s="8" t="n"/>
      <c r="H467" s="8" t="n"/>
      <c r="I467" s="8" t="n"/>
      <c r="J467" s="8" t="n"/>
    </row>
    <row r="468">
      <c r="A468" s="8" t="n"/>
      <c r="B468" s="8" t="n"/>
      <c r="C468" s="8" t="n"/>
      <c r="D468" s="8" t="n"/>
      <c r="E468" s="9" t="n"/>
      <c r="F468" s="9" t="n"/>
      <c r="G468" s="8" t="n"/>
      <c r="H468" s="8" t="n"/>
      <c r="I468" s="8" t="n"/>
      <c r="J468" s="8" t="n"/>
    </row>
    <row r="469">
      <c r="A469" s="8" t="n"/>
      <c r="B469" s="8" t="n"/>
      <c r="C469" s="8" t="n"/>
      <c r="D469" s="8" t="n"/>
      <c r="E469" s="9" t="n"/>
      <c r="F469" s="9" t="n"/>
      <c r="G469" s="8" t="n"/>
      <c r="H469" s="8" t="n"/>
      <c r="I469" s="8" t="n"/>
      <c r="J469" s="8" t="n"/>
    </row>
    <row r="470">
      <c r="A470" s="8" t="n"/>
      <c r="B470" s="8" t="n"/>
      <c r="C470" s="8" t="n"/>
      <c r="D470" s="8" t="n"/>
      <c r="E470" s="9" t="n"/>
      <c r="F470" s="9" t="n"/>
      <c r="G470" s="8" t="n"/>
      <c r="H470" s="8" t="n"/>
      <c r="I470" s="8" t="n"/>
      <c r="J470" s="8" t="n"/>
    </row>
    <row r="471">
      <c r="A471" s="8" t="n"/>
      <c r="B471" s="8" t="n"/>
      <c r="C471" s="8" t="n"/>
      <c r="D471" s="8" t="n"/>
      <c r="E471" s="9" t="n"/>
      <c r="F471" s="9" t="n"/>
      <c r="G471" s="8" t="n"/>
      <c r="H471" s="8" t="n"/>
      <c r="I471" s="8" t="n"/>
      <c r="J471" s="8" t="n"/>
    </row>
    <row r="472">
      <c r="A472" s="8" t="n"/>
      <c r="B472" s="8" t="n"/>
      <c r="C472" s="8" t="n"/>
      <c r="D472" s="8" t="n"/>
      <c r="E472" s="9" t="n"/>
      <c r="F472" s="9" t="n"/>
      <c r="G472" s="8" t="n"/>
      <c r="H472" s="8" t="n"/>
      <c r="I472" s="8" t="n"/>
      <c r="J472" s="8" t="n"/>
    </row>
    <row r="473">
      <c r="A473" s="8" t="n"/>
      <c r="B473" s="8" t="n"/>
      <c r="C473" s="8" t="n"/>
      <c r="D473" s="8" t="n"/>
      <c r="E473" s="9" t="n"/>
      <c r="F473" s="9" t="n"/>
      <c r="G473" s="8" t="n"/>
      <c r="H473" s="8" t="n"/>
      <c r="I473" s="8" t="n"/>
      <c r="J473" s="8" t="n"/>
    </row>
    <row r="474">
      <c r="A474" s="8" t="n"/>
      <c r="B474" s="8" t="n"/>
      <c r="C474" s="8" t="n"/>
      <c r="D474" s="8" t="n"/>
      <c r="E474" s="9" t="n"/>
      <c r="F474" s="9" t="n"/>
      <c r="G474" s="8" t="n"/>
      <c r="H474" s="8" t="n"/>
      <c r="I474" s="8" t="n"/>
      <c r="J474" s="8" t="n"/>
    </row>
    <row r="475">
      <c r="A475" s="8" t="n"/>
      <c r="B475" s="8" t="n"/>
      <c r="C475" s="8" t="n"/>
      <c r="D475" s="8" t="n"/>
      <c r="E475" s="9" t="n"/>
      <c r="F475" s="9" t="n"/>
      <c r="G475" s="8" t="n"/>
      <c r="H475" s="8" t="n"/>
      <c r="I475" s="8" t="n"/>
      <c r="J475" s="8" t="n"/>
    </row>
    <row r="476">
      <c r="A476" s="8" t="n"/>
      <c r="B476" s="8" t="n"/>
      <c r="C476" s="8" t="n"/>
      <c r="D476" s="8" t="n"/>
      <c r="E476" s="9" t="n"/>
      <c r="F476" s="9" t="n"/>
      <c r="G476" s="8" t="n"/>
      <c r="H476" s="8" t="n"/>
      <c r="I476" s="8" t="n"/>
      <c r="J476" s="8" t="n"/>
    </row>
    <row r="477">
      <c r="A477" s="8" t="n"/>
      <c r="B477" s="8" t="n"/>
      <c r="C477" s="8" t="n"/>
      <c r="D477" s="8" t="n"/>
      <c r="E477" s="9" t="n"/>
      <c r="F477" s="9" t="n"/>
      <c r="G477" s="8" t="n"/>
      <c r="H477" s="8" t="n"/>
      <c r="I477" s="8" t="n"/>
      <c r="J477" s="8" t="n"/>
    </row>
    <row r="478">
      <c r="A478" s="8" t="n"/>
      <c r="B478" s="8" t="n"/>
      <c r="C478" s="8" t="n"/>
      <c r="D478" s="8" t="n"/>
      <c r="E478" s="9" t="n"/>
      <c r="F478" s="9" t="n"/>
      <c r="G478" s="8" t="n"/>
      <c r="H478" s="8" t="n"/>
      <c r="I478" s="8" t="n"/>
      <c r="J478" s="8" t="n"/>
    </row>
    <row r="479">
      <c r="A479" s="8" t="n"/>
      <c r="B479" s="8" t="n"/>
      <c r="C479" s="8" t="n"/>
      <c r="D479" s="8" t="n"/>
      <c r="E479" s="9" t="n"/>
      <c r="F479" s="9" t="n"/>
      <c r="G479" s="8" t="n"/>
      <c r="H479" s="8" t="n"/>
      <c r="I479" s="8" t="n"/>
      <c r="J479" s="8" t="n"/>
    </row>
    <row r="480">
      <c r="A480" s="8" t="n"/>
      <c r="B480" s="8" t="n"/>
      <c r="C480" s="8" t="n"/>
      <c r="D480" s="8" t="n"/>
      <c r="E480" s="9" t="n"/>
      <c r="F480" s="9" t="n"/>
      <c r="G480" s="8" t="n"/>
      <c r="H480" s="8" t="n"/>
      <c r="I480" s="8" t="n"/>
      <c r="J480" s="8" t="n"/>
    </row>
    <row r="481">
      <c r="A481" s="8" t="n"/>
      <c r="B481" s="8" t="n"/>
      <c r="C481" s="8" t="n"/>
      <c r="D481" s="8" t="n"/>
      <c r="E481" s="9" t="n"/>
      <c r="F481" s="9" t="n"/>
      <c r="G481" s="8" t="n"/>
      <c r="H481" s="8" t="n"/>
      <c r="I481" s="8" t="n"/>
      <c r="J481" s="8" t="n"/>
    </row>
    <row r="482">
      <c r="A482" s="8" t="n"/>
      <c r="B482" s="8" t="n"/>
      <c r="C482" s="8" t="n"/>
      <c r="D482" s="8" t="n"/>
      <c r="E482" s="9" t="n"/>
      <c r="F482" s="9" t="n"/>
      <c r="G482" s="8" t="n"/>
      <c r="H482" s="8" t="n"/>
      <c r="I482" s="8" t="n"/>
      <c r="J482" s="8" t="n"/>
    </row>
    <row r="483">
      <c r="A483" s="8" t="n"/>
      <c r="B483" s="8" t="n"/>
      <c r="C483" s="8" t="n"/>
      <c r="D483" s="8" t="n"/>
      <c r="E483" s="9" t="n"/>
      <c r="F483" s="9" t="n"/>
      <c r="G483" s="8" t="n"/>
      <c r="H483" s="8" t="n"/>
      <c r="I483" s="8" t="n"/>
      <c r="J483" s="8" t="n"/>
    </row>
    <row r="484">
      <c r="A484" s="8" t="n"/>
      <c r="B484" s="8" t="n"/>
      <c r="C484" s="8" t="n"/>
      <c r="D484" s="8" t="n"/>
      <c r="E484" s="9" t="n"/>
      <c r="F484" s="9" t="n"/>
      <c r="G484" s="8" t="n"/>
      <c r="H484" s="8" t="n"/>
      <c r="I484" s="8" t="n"/>
      <c r="J484" s="8" t="n"/>
    </row>
    <row r="485">
      <c r="A485" s="8" t="n"/>
      <c r="B485" s="8" t="n"/>
      <c r="C485" s="8" t="n"/>
      <c r="D485" s="8" t="n"/>
      <c r="E485" s="9" t="n"/>
      <c r="F485" s="9" t="n"/>
      <c r="G485" s="8" t="n"/>
      <c r="H485" s="8" t="n"/>
      <c r="I485" s="8" t="n"/>
      <c r="J485" s="8" t="n"/>
    </row>
    <row r="486">
      <c r="A486" s="8" t="n"/>
      <c r="B486" s="8" t="n"/>
      <c r="C486" s="8" t="n"/>
      <c r="D486" s="8" t="n"/>
      <c r="E486" s="9" t="n"/>
      <c r="F486" s="9" t="n"/>
      <c r="G486" s="8" t="n"/>
      <c r="H486" s="8" t="n"/>
      <c r="I486" s="8" t="n"/>
      <c r="J486" s="8" t="n"/>
    </row>
    <row r="487">
      <c r="A487" s="8" t="n"/>
      <c r="B487" s="8" t="n"/>
      <c r="C487" s="8" t="n"/>
      <c r="D487" s="8" t="n"/>
      <c r="E487" s="9" t="n"/>
      <c r="F487" s="9" t="n"/>
      <c r="G487" s="8" t="n"/>
      <c r="H487" s="8" t="n"/>
      <c r="I487" s="8" t="n"/>
      <c r="J487" s="8" t="n"/>
    </row>
    <row r="488">
      <c r="A488" s="8" t="n"/>
      <c r="B488" s="8" t="n"/>
      <c r="C488" s="8" t="n"/>
      <c r="D488" s="8" t="n"/>
      <c r="E488" s="9" t="n"/>
      <c r="F488" s="9" t="n"/>
      <c r="G488" s="8" t="n"/>
      <c r="H488" s="8" t="n"/>
      <c r="I488" s="8" t="n"/>
      <c r="J488" s="8" t="n"/>
    </row>
    <row r="489">
      <c r="A489" s="8" t="n"/>
      <c r="B489" s="8" t="n"/>
      <c r="C489" s="8" t="n"/>
      <c r="D489" s="8" t="n"/>
      <c r="E489" s="9" t="n"/>
      <c r="F489" s="9" t="n"/>
      <c r="G489" s="8" t="n"/>
      <c r="H489" s="8" t="n"/>
      <c r="I489" s="8" t="n"/>
      <c r="J489" s="8" t="n"/>
    </row>
    <row r="490">
      <c r="A490" s="8" t="n"/>
      <c r="B490" s="8" t="n"/>
      <c r="C490" s="8" t="n"/>
      <c r="D490" s="8" t="n"/>
      <c r="E490" s="9" t="n"/>
      <c r="F490" s="9" t="n"/>
      <c r="G490" s="8" t="n"/>
      <c r="H490" s="8" t="n"/>
      <c r="I490" s="8" t="n"/>
      <c r="J490" s="8" t="n"/>
    </row>
    <row r="491">
      <c r="A491" s="8" t="n"/>
      <c r="B491" s="8" t="n"/>
      <c r="C491" s="8" t="n"/>
      <c r="D491" s="8" t="n"/>
      <c r="E491" s="9" t="n"/>
      <c r="F491" s="9" t="n"/>
      <c r="G491" s="8" t="n"/>
      <c r="H491" s="8" t="n"/>
      <c r="I491" s="8" t="n"/>
      <c r="J491" s="8" t="n"/>
    </row>
    <row r="492">
      <c r="A492" s="8" t="n"/>
      <c r="B492" s="8" t="n"/>
      <c r="C492" s="8" t="n"/>
      <c r="D492" s="8" t="n"/>
      <c r="E492" s="9" t="n"/>
      <c r="F492" s="9" t="n"/>
      <c r="G492" s="8" t="n"/>
      <c r="H492" s="8" t="n"/>
      <c r="I492" s="8" t="n"/>
      <c r="J492" s="8" t="n"/>
    </row>
    <row r="493">
      <c r="A493" s="8" t="n"/>
      <c r="B493" s="8" t="n"/>
      <c r="C493" s="8" t="n"/>
      <c r="D493" s="8" t="n"/>
      <c r="E493" s="9" t="n"/>
      <c r="F493" s="9" t="n"/>
      <c r="G493" s="8" t="n"/>
      <c r="H493" s="8" t="n"/>
      <c r="I493" s="8" t="n"/>
      <c r="J493" s="8" t="n"/>
    </row>
    <row r="494">
      <c r="A494" s="8" t="n"/>
      <c r="B494" s="8" t="n"/>
      <c r="C494" s="8" t="n"/>
      <c r="D494" s="8" t="n"/>
      <c r="E494" s="9" t="n"/>
      <c r="F494" s="9" t="n"/>
      <c r="G494" s="8" t="n"/>
      <c r="H494" s="8" t="n"/>
      <c r="I494" s="8" t="n"/>
      <c r="J494" s="8" t="n"/>
    </row>
    <row r="495">
      <c r="A495" s="8" t="n"/>
      <c r="B495" s="8" t="n"/>
      <c r="C495" s="8" t="n"/>
      <c r="D495" s="8" t="n"/>
      <c r="E495" s="9" t="n"/>
      <c r="F495" s="9" t="n"/>
      <c r="G495" s="8" t="n"/>
      <c r="H495" s="8" t="n"/>
      <c r="I495" s="8" t="n"/>
      <c r="J495" s="8" t="n"/>
    </row>
    <row r="496">
      <c r="A496" s="8" t="n"/>
      <c r="B496" s="8" t="n"/>
      <c r="C496" s="8" t="n"/>
      <c r="D496" s="8" t="n"/>
      <c r="E496" s="9" t="n"/>
      <c r="F496" s="9" t="n"/>
      <c r="G496" s="8" t="n"/>
      <c r="H496" s="8" t="n"/>
      <c r="I496" s="8" t="n"/>
      <c r="J496" s="8" t="n"/>
    </row>
    <row r="497">
      <c r="A497" s="8" t="n"/>
      <c r="B497" s="8" t="n"/>
      <c r="C497" s="8" t="n"/>
      <c r="D497" s="8" t="n"/>
      <c r="E497" s="9" t="n"/>
      <c r="F497" s="9" t="n"/>
      <c r="G497" s="8" t="n"/>
      <c r="H497" s="8" t="n"/>
      <c r="I497" s="8" t="n"/>
      <c r="J497" s="8" t="n"/>
    </row>
    <row r="498">
      <c r="A498" s="8" t="n"/>
      <c r="B498" s="8" t="n"/>
      <c r="C498" s="8" t="n"/>
      <c r="D498" s="8" t="n"/>
      <c r="E498" s="9" t="n"/>
      <c r="F498" s="9" t="n"/>
      <c r="G498" s="8" t="n"/>
      <c r="H498" s="8" t="n"/>
      <c r="I498" s="8" t="n"/>
      <c r="J498" s="8" t="n"/>
    </row>
    <row r="499">
      <c r="A499" s="8" t="n"/>
      <c r="B499" s="8" t="n"/>
      <c r="C499" s="8" t="n"/>
      <c r="D499" s="8" t="n"/>
      <c r="E499" s="9" t="n"/>
      <c r="F499" s="9" t="n"/>
      <c r="G499" s="8" t="n"/>
      <c r="H499" s="8" t="n"/>
      <c r="I499" s="8" t="n"/>
      <c r="J499" s="8" t="n"/>
    </row>
    <row r="500">
      <c r="A500" s="8" t="n"/>
      <c r="B500" s="8" t="n"/>
      <c r="C500" s="8" t="n"/>
      <c r="D500" s="8" t="n"/>
      <c r="E500" s="9" t="n"/>
      <c r="F500" s="9" t="n"/>
      <c r="G500" s="8" t="n"/>
      <c r="H500" s="8" t="n"/>
      <c r="I500" s="8" t="n"/>
      <c r="J500" s="8" t="n"/>
    </row>
    <row r="501">
      <c r="A501" s="8" t="n"/>
      <c r="B501" s="8" t="n"/>
      <c r="C501" s="8" t="n"/>
      <c r="D501" s="8" t="n"/>
      <c r="E501" s="9" t="n"/>
      <c r="F501" s="9" t="n"/>
      <c r="G501" s="8" t="n"/>
      <c r="H501" s="8" t="n"/>
      <c r="I501" s="8" t="n"/>
      <c r="J501" s="8" t="n"/>
    </row>
  </sheetData>
  <dataValidations count="1">
    <dataValidation sqref="I2:I501" showDropDown="0" showInputMessage="0" showErrorMessage="0" allowBlank="0" type="list">
      <formula1>"Confirmado,Referencia,Pendiente"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8" customWidth="1" min="4" max="4"/>
    <col width="11" customWidth="1" min="5" max="5"/>
    <col width="16" customWidth="1" min="6" max="6"/>
    <col width="16" customWidth="1" min="7" max="7"/>
    <col width="32" customWidth="1" min="8" max="8"/>
  </cols>
  <sheetData>
    <row r="1">
      <c r="A1" s="6" t="inlineStr">
        <is>
          <t>Capitulo</t>
        </is>
      </c>
      <c r="B1" s="6" t="inlineStr">
        <is>
          <t>Codigo</t>
        </is>
      </c>
      <c r="C1" s="6" t="inlineStr">
        <is>
          <t>Descripcion</t>
        </is>
      </c>
      <c r="D1" s="6" t="inlineStr">
        <is>
          <t>UdM</t>
        </is>
      </c>
      <c r="E1" s="6" t="inlineStr">
        <is>
          <t>Cantidad</t>
        </is>
      </c>
      <c r="F1" s="6" t="inlineStr">
        <is>
          <t>Precio unitario</t>
        </is>
      </c>
      <c r="G1" s="6" t="inlineStr">
        <is>
          <t>Subtotal</t>
        </is>
      </c>
      <c r="H1" s="6" t="inlineStr">
        <is>
          <t>Observacion</t>
        </is>
      </c>
    </row>
    <row r="2">
      <c r="A2" s="3" t="n"/>
      <c r="B2" s="3" t="n"/>
      <c r="C2" s="10">
        <f>IF(B2="","",IFERROR(VLOOKUP(B2,Catalogo!$A:$F,2,FALSE),"CODIGO NO ENCONTRADO"))</f>
        <v/>
      </c>
      <c r="D2" s="10">
        <f>IF(B2="","",IFERROR(VLOOKUP(B2,Catalogo!$A:$F,4,FALSE),""))</f>
        <v/>
      </c>
      <c r="E2" s="3" t="n"/>
      <c r="F2" s="11">
        <f>IF(B2="","",IFERROR(VLOOKUP(B2,Catalogo!$A:$F,6,FALSE),0))</f>
        <v/>
      </c>
      <c r="G2" s="11">
        <f>IF(B2="","",E2*F2)</f>
        <v/>
      </c>
      <c r="H2" s="3" t="n"/>
    </row>
    <row r="3">
      <c r="A3" s="3" t="n"/>
      <c r="B3" s="3" t="n"/>
      <c r="C3" s="10">
        <f>IF(B3="","",IFERROR(VLOOKUP(B3,Catalogo!$A:$F,2,FALSE),"CODIGO NO ENCONTRADO"))</f>
        <v/>
      </c>
      <c r="D3" s="10">
        <f>IF(B3="","",IFERROR(VLOOKUP(B3,Catalogo!$A:$F,4,FALSE),""))</f>
        <v/>
      </c>
      <c r="E3" s="3" t="n"/>
      <c r="F3" s="11">
        <f>IF(B3="","",IFERROR(VLOOKUP(B3,Catalogo!$A:$F,6,FALSE),0))</f>
        <v/>
      </c>
      <c r="G3" s="11">
        <f>IF(B3="","",E3*F3)</f>
        <v/>
      </c>
      <c r="H3" s="3" t="n"/>
    </row>
    <row r="4">
      <c r="A4" s="3" t="n"/>
      <c r="B4" s="3" t="n"/>
      <c r="C4" s="10">
        <f>IF(B4="","",IFERROR(VLOOKUP(B4,Catalogo!$A:$F,2,FALSE),"CODIGO NO ENCONTRADO"))</f>
        <v/>
      </c>
      <c r="D4" s="10">
        <f>IF(B4="","",IFERROR(VLOOKUP(B4,Catalogo!$A:$F,4,FALSE),""))</f>
        <v/>
      </c>
      <c r="E4" s="3" t="n"/>
      <c r="F4" s="11">
        <f>IF(B4="","",IFERROR(VLOOKUP(B4,Catalogo!$A:$F,6,FALSE),0))</f>
        <v/>
      </c>
      <c r="G4" s="11">
        <f>IF(B4="","",E4*F4)</f>
        <v/>
      </c>
      <c r="H4" s="3" t="n"/>
    </row>
    <row r="5">
      <c r="A5" s="3" t="n"/>
      <c r="B5" s="3" t="n"/>
      <c r="C5" s="10">
        <f>IF(B5="","",IFERROR(VLOOKUP(B5,Catalogo!$A:$F,2,FALSE),"CODIGO NO ENCONTRADO"))</f>
        <v/>
      </c>
      <c r="D5" s="10">
        <f>IF(B5="","",IFERROR(VLOOKUP(B5,Catalogo!$A:$F,4,FALSE),""))</f>
        <v/>
      </c>
      <c r="E5" s="3" t="n"/>
      <c r="F5" s="11">
        <f>IF(B5="","",IFERROR(VLOOKUP(B5,Catalogo!$A:$F,6,FALSE),0))</f>
        <v/>
      </c>
      <c r="G5" s="11">
        <f>IF(B5="","",E5*F5)</f>
        <v/>
      </c>
      <c r="H5" s="3" t="n"/>
    </row>
    <row r="6">
      <c r="A6" s="3" t="n"/>
      <c r="B6" s="3" t="n"/>
      <c r="C6" s="10">
        <f>IF(B6="","",IFERROR(VLOOKUP(B6,Catalogo!$A:$F,2,FALSE),"CODIGO NO ENCONTRADO"))</f>
        <v/>
      </c>
      <c r="D6" s="10">
        <f>IF(B6="","",IFERROR(VLOOKUP(B6,Catalogo!$A:$F,4,FALSE),""))</f>
        <v/>
      </c>
      <c r="E6" s="3" t="n"/>
      <c r="F6" s="11">
        <f>IF(B6="","",IFERROR(VLOOKUP(B6,Catalogo!$A:$F,6,FALSE),0))</f>
        <v/>
      </c>
      <c r="G6" s="11">
        <f>IF(B6="","",E6*F6)</f>
        <v/>
      </c>
      <c r="H6" s="3" t="n"/>
    </row>
    <row r="7">
      <c r="A7" s="3" t="n"/>
      <c r="B7" s="3" t="n"/>
      <c r="C7" s="10">
        <f>IF(B7="","",IFERROR(VLOOKUP(B7,Catalogo!$A:$F,2,FALSE),"CODIGO NO ENCONTRADO"))</f>
        <v/>
      </c>
      <c r="D7" s="10">
        <f>IF(B7="","",IFERROR(VLOOKUP(B7,Catalogo!$A:$F,4,FALSE),""))</f>
        <v/>
      </c>
      <c r="E7" s="3" t="n"/>
      <c r="F7" s="11">
        <f>IF(B7="","",IFERROR(VLOOKUP(B7,Catalogo!$A:$F,6,FALSE),0))</f>
        <v/>
      </c>
      <c r="G7" s="11">
        <f>IF(B7="","",E7*F7)</f>
        <v/>
      </c>
      <c r="H7" s="3" t="n"/>
    </row>
    <row r="8">
      <c r="A8" s="3" t="n"/>
      <c r="B8" s="3" t="n"/>
      <c r="C8" s="10">
        <f>IF(B8="","",IFERROR(VLOOKUP(B8,Catalogo!$A:$F,2,FALSE),"CODIGO NO ENCONTRADO"))</f>
        <v/>
      </c>
      <c r="D8" s="10">
        <f>IF(B8="","",IFERROR(VLOOKUP(B8,Catalogo!$A:$F,4,FALSE),""))</f>
        <v/>
      </c>
      <c r="E8" s="3" t="n"/>
      <c r="F8" s="11">
        <f>IF(B8="","",IFERROR(VLOOKUP(B8,Catalogo!$A:$F,6,FALSE),0))</f>
        <v/>
      </c>
      <c r="G8" s="11">
        <f>IF(B8="","",E8*F8)</f>
        <v/>
      </c>
      <c r="H8" s="3" t="n"/>
    </row>
    <row r="9">
      <c r="A9" s="3" t="n"/>
      <c r="B9" s="3" t="n"/>
      <c r="C9" s="10">
        <f>IF(B9="","",IFERROR(VLOOKUP(B9,Catalogo!$A:$F,2,FALSE),"CODIGO NO ENCONTRADO"))</f>
        <v/>
      </c>
      <c r="D9" s="10">
        <f>IF(B9="","",IFERROR(VLOOKUP(B9,Catalogo!$A:$F,4,FALSE),""))</f>
        <v/>
      </c>
      <c r="E9" s="3" t="n"/>
      <c r="F9" s="11">
        <f>IF(B9="","",IFERROR(VLOOKUP(B9,Catalogo!$A:$F,6,FALSE),0))</f>
        <v/>
      </c>
      <c r="G9" s="11">
        <f>IF(B9="","",E9*F9)</f>
        <v/>
      </c>
      <c r="H9" s="3" t="n"/>
    </row>
    <row r="10">
      <c r="A10" s="3" t="n"/>
      <c r="B10" s="3" t="n"/>
      <c r="C10" s="10">
        <f>IF(B10="","",IFERROR(VLOOKUP(B10,Catalogo!$A:$F,2,FALSE),"CODIGO NO ENCONTRADO"))</f>
        <v/>
      </c>
      <c r="D10" s="10">
        <f>IF(B10="","",IFERROR(VLOOKUP(B10,Catalogo!$A:$F,4,FALSE),""))</f>
        <v/>
      </c>
      <c r="E10" s="3" t="n"/>
      <c r="F10" s="11">
        <f>IF(B10="","",IFERROR(VLOOKUP(B10,Catalogo!$A:$F,6,FALSE),0))</f>
        <v/>
      </c>
      <c r="G10" s="11">
        <f>IF(B10="","",E10*F10)</f>
        <v/>
      </c>
      <c r="H10" s="3" t="n"/>
    </row>
    <row r="11">
      <c r="A11" s="3" t="n"/>
      <c r="B11" s="3" t="n"/>
      <c r="C11" s="10">
        <f>IF(B11="","",IFERROR(VLOOKUP(B11,Catalogo!$A:$F,2,FALSE),"CODIGO NO ENCONTRADO"))</f>
        <v/>
      </c>
      <c r="D11" s="10">
        <f>IF(B11="","",IFERROR(VLOOKUP(B11,Catalogo!$A:$F,4,FALSE),""))</f>
        <v/>
      </c>
      <c r="E11" s="3" t="n"/>
      <c r="F11" s="11">
        <f>IF(B11="","",IFERROR(VLOOKUP(B11,Catalogo!$A:$F,6,FALSE),0))</f>
        <v/>
      </c>
      <c r="G11" s="11">
        <f>IF(B11="","",E11*F11)</f>
        <v/>
      </c>
      <c r="H11" s="3" t="n"/>
    </row>
    <row r="12">
      <c r="A12" s="3" t="n"/>
      <c r="B12" s="3" t="n"/>
      <c r="C12" s="10">
        <f>IF(B12="","",IFERROR(VLOOKUP(B12,Catalogo!$A:$F,2,FALSE),"CODIGO NO ENCONTRADO"))</f>
        <v/>
      </c>
      <c r="D12" s="10">
        <f>IF(B12="","",IFERROR(VLOOKUP(B12,Catalogo!$A:$F,4,FALSE),""))</f>
        <v/>
      </c>
      <c r="E12" s="3" t="n"/>
      <c r="F12" s="11">
        <f>IF(B12="","",IFERROR(VLOOKUP(B12,Catalogo!$A:$F,6,FALSE),0))</f>
        <v/>
      </c>
      <c r="G12" s="11">
        <f>IF(B12="","",E12*F12)</f>
        <v/>
      </c>
      <c r="H12" s="3" t="n"/>
    </row>
    <row r="13">
      <c r="A13" s="3" t="n"/>
      <c r="B13" s="3" t="n"/>
      <c r="C13" s="10">
        <f>IF(B13="","",IFERROR(VLOOKUP(B13,Catalogo!$A:$F,2,FALSE),"CODIGO NO ENCONTRADO"))</f>
        <v/>
      </c>
      <c r="D13" s="10">
        <f>IF(B13="","",IFERROR(VLOOKUP(B13,Catalogo!$A:$F,4,FALSE),""))</f>
        <v/>
      </c>
      <c r="E13" s="3" t="n"/>
      <c r="F13" s="11">
        <f>IF(B13="","",IFERROR(VLOOKUP(B13,Catalogo!$A:$F,6,FALSE),0))</f>
        <v/>
      </c>
      <c r="G13" s="11">
        <f>IF(B13="","",E13*F13)</f>
        <v/>
      </c>
      <c r="H13" s="3" t="n"/>
    </row>
    <row r="14">
      <c r="A14" s="3" t="n"/>
      <c r="B14" s="3" t="n"/>
      <c r="C14" s="10">
        <f>IF(B14="","",IFERROR(VLOOKUP(B14,Catalogo!$A:$F,2,FALSE),"CODIGO NO ENCONTRADO"))</f>
        <v/>
      </c>
      <c r="D14" s="10">
        <f>IF(B14="","",IFERROR(VLOOKUP(B14,Catalogo!$A:$F,4,FALSE),""))</f>
        <v/>
      </c>
      <c r="E14" s="3" t="n"/>
      <c r="F14" s="11">
        <f>IF(B14="","",IFERROR(VLOOKUP(B14,Catalogo!$A:$F,6,FALSE),0))</f>
        <v/>
      </c>
      <c r="G14" s="11">
        <f>IF(B14="","",E14*F14)</f>
        <v/>
      </c>
      <c r="H14" s="3" t="n"/>
    </row>
    <row r="15">
      <c r="A15" s="3" t="n"/>
      <c r="B15" s="3" t="n"/>
      <c r="C15" s="10">
        <f>IF(B15="","",IFERROR(VLOOKUP(B15,Catalogo!$A:$F,2,FALSE),"CODIGO NO ENCONTRADO"))</f>
        <v/>
      </c>
      <c r="D15" s="10">
        <f>IF(B15="","",IFERROR(VLOOKUP(B15,Catalogo!$A:$F,4,FALSE),""))</f>
        <v/>
      </c>
      <c r="E15" s="3" t="n"/>
      <c r="F15" s="11">
        <f>IF(B15="","",IFERROR(VLOOKUP(B15,Catalogo!$A:$F,6,FALSE),0))</f>
        <v/>
      </c>
      <c r="G15" s="11">
        <f>IF(B15="","",E15*F15)</f>
        <v/>
      </c>
      <c r="H15" s="3" t="n"/>
    </row>
    <row r="16">
      <c r="A16" s="3" t="n"/>
      <c r="B16" s="3" t="n"/>
      <c r="C16" s="10">
        <f>IF(B16="","",IFERROR(VLOOKUP(B16,Catalogo!$A:$F,2,FALSE),"CODIGO NO ENCONTRADO"))</f>
        <v/>
      </c>
      <c r="D16" s="10">
        <f>IF(B16="","",IFERROR(VLOOKUP(B16,Catalogo!$A:$F,4,FALSE),""))</f>
        <v/>
      </c>
      <c r="E16" s="3" t="n"/>
      <c r="F16" s="11">
        <f>IF(B16="","",IFERROR(VLOOKUP(B16,Catalogo!$A:$F,6,FALSE),0))</f>
        <v/>
      </c>
      <c r="G16" s="11">
        <f>IF(B16="","",E16*F16)</f>
        <v/>
      </c>
      <c r="H16" s="3" t="n"/>
    </row>
    <row r="17">
      <c r="A17" s="3" t="n"/>
      <c r="B17" s="3" t="n"/>
      <c r="C17" s="10">
        <f>IF(B17="","",IFERROR(VLOOKUP(B17,Catalogo!$A:$F,2,FALSE),"CODIGO NO ENCONTRADO"))</f>
        <v/>
      </c>
      <c r="D17" s="10">
        <f>IF(B17="","",IFERROR(VLOOKUP(B17,Catalogo!$A:$F,4,FALSE),""))</f>
        <v/>
      </c>
      <c r="E17" s="3" t="n"/>
      <c r="F17" s="11">
        <f>IF(B17="","",IFERROR(VLOOKUP(B17,Catalogo!$A:$F,6,FALSE),0))</f>
        <v/>
      </c>
      <c r="G17" s="11">
        <f>IF(B17="","",E17*F17)</f>
        <v/>
      </c>
      <c r="H17" s="3" t="n"/>
    </row>
    <row r="18">
      <c r="A18" s="3" t="n"/>
      <c r="B18" s="3" t="n"/>
      <c r="C18" s="10">
        <f>IF(B18="","",IFERROR(VLOOKUP(B18,Catalogo!$A:$F,2,FALSE),"CODIGO NO ENCONTRADO"))</f>
        <v/>
      </c>
      <c r="D18" s="10">
        <f>IF(B18="","",IFERROR(VLOOKUP(B18,Catalogo!$A:$F,4,FALSE),""))</f>
        <v/>
      </c>
      <c r="E18" s="3" t="n"/>
      <c r="F18" s="11">
        <f>IF(B18="","",IFERROR(VLOOKUP(B18,Catalogo!$A:$F,6,FALSE),0))</f>
        <v/>
      </c>
      <c r="G18" s="11">
        <f>IF(B18="","",E18*F18)</f>
        <v/>
      </c>
      <c r="H18" s="3" t="n"/>
    </row>
    <row r="19">
      <c r="A19" s="3" t="n"/>
      <c r="B19" s="3" t="n"/>
      <c r="C19" s="10">
        <f>IF(B19="","",IFERROR(VLOOKUP(B19,Catalogo!$A:$F,2,FALSE),"CODIGO NO ENCONTRADO"))</f>
        <v/>
      </c>
      <c r="D19" s="10">
        <f>IF(B19="","",IFERROR(VLOOKUP(B19,Catalogo!$A:$F,4,FALSE),""))</f>
        <v/>
      </c>
      <c r="E19" s="3" t="n"/>
      <c r="F19" s="11">
        <f>IF(B19="","",IFERROR(VLOOKUP(B19,Catalogo!$A:$F,6,FALSE),0))</f>
        <v/>
      </c>
      <c r="G19" s="11">
        <f>IF(B19="","",E19*F19)</f>
        <v/>
      </c>
      <c r="H19" s="3" t="n"/>
    </row>
    <row r="20">
      <c r="A20" s="3" t="n"/>
      <c r="B20" s="3" t="n"/>
      <c r="C20" s="10">
        <f>IF(B20="","",IFERROR(VLOOKUP(B20,Catalogo!$A:$F,2,FALSE),"CODIGO NO ENCONTRADO"))</f>
        <v/>
      </c>
      <c r="D20" s="10">
        <f>IF(B20="","",IFERROR(VLOOKUP(B20,Catalogo!$A:$F,4,FALSE),""))</f>
        <v/>
      </c>
      <c r="E20" s="3" t="n"/>
      <c r="F20" s="11">
        <f>IF(B20="","",IFERROR(VLOOKUP(B20,Catalogo!$A:$F,6,FALSE),0))</f>
        <v/>
      </c>
      <c r="G20" s="11">
        <f>IF(B20="","",E20*F20)</f>
        <v/>
      </c>
      <c r="H20" s="3" t="n"/>
    </row>
    <row r="21">
      <c r="A21" s="3" t="n"/>
      <c r="B21" s="3" t="n"/>
      <c r="C21" s="10">
        <f>IF(B21="","",IFERROR(VLOOKUP(B21,Catalogo!$A:$F,2,FALSE),"CODIGO NO ENCONTRADO"))</f>
        <v/>
      </c>
      <c r="D21" s="10">
        <f>IF(B21="","",IFERROR(VLOOKUP(B21,Catalogo!$A:$F,4,FALSE),""))</f>
        <v/>
      </c>
      <c r="E21" s="3" t="n"/>
      <c r="F21" s="11">
        <f>IF(B21="","",IFERROR(VLOOKUP(B21,Catalogo!$A:$F,6,FALSE),0))</f>
        <v/>
      </c>
      <c r="G21" s="11">
        <f>IF(B21="","",E21*F21)</f>
        <v/>
      </c>
      <c r="H21" s="3" t="n"/>
    </row>
    <row r="22">
      <c r="A22" s="3" t="n"/>
      <c r="B22" s="3" t="n"/>
      <c r="C22" s="10">
        <f>IF(B22="","",IFERROR(VLOOKUP(B22,Catalogo!$A:$F,2,FALSE),"CODIGO NO ENCONTRADO"))</f>
        <v/>
      </c>
      <c r="D22" s="10">
        <f>IF(B22="","",IFERROR(VLOOKUP(B22,Catalogo!$A:$F,4,FALSE),""))</f>
        <v/>
      </c>
      <c r="E22" s="3" t="n"/>
      <c r="F22" s="11">
        <f>IF(B22="","",IFERROR(VLOOKUP(B22,Catalogo!$A:$F,6,FALSE),0))</f>
        <v/>
      </c>
      <c r="G22" s="11">
        <f>IF(B22="","",E22*F22)</f>
        <v/>
      </c>
      <c r="H22" s="3" t="n"/>
    </row>
    <row r="23">
      <c r="A23" s="3" t="n"/>
      <c r="B23" s="3" t="n"/>
      <c r="C23" s="10">
        <f>IF(B23="","",IFERROR(VLOOKUP(B23,Catalogo!$A:$F,2,FALSE),"CODIGO NO ENCONTRADO"))</f>
        <v/>
      </c>
      <c r="D23" s="10">
        <f>IF(B23="","",IFERROR(VLOOKUP(B23,Catalogo!$A:$F,4,FALSE),""))</f>
        <v/>
      </c>
      <c r="E23" s="3" t="n"/>
      <c r="F23" s="11">
        <f>IF(B23="","",IFERROR(VLOOKUP(B23,Catalogo!$A:$F,6,FALSE),0))</f>
        <v/>
      </c>
      <c r="G23" s="11">
        <f>IF(B23="","",E23*F23)</f>
        <v/>
      </c>
      <c r="H23" s="3" t="n"/>
    </row>
    <row r="24">
      <c r="A24" s="3" t="n"/>
      <c r="B24" s="3" t="n"/>
      <c r="C24" s="10">
        <f>IF(B24="","",IFERROR(VLOOKUP(B24,Catalogo!$A:$F,2,FALSE),"CODIGO NO ENCONTRADO"))</f>
        <v/>
      </c>
      <c r="D24" s="10">
        <f>IF(B24="","",IFERROR(VLOOKUP(B24,Catalogo!$A:$F,4,FALSE),""))</f>
        <v/>
      </c>
      <c r="E24" s="3" t="n"/>
      <c r="F24" s="11">
        <f>IF(B24="","",IFERROR(VLOOKUP(B24,Catalogo!$A:$F,6,FALSE),0))</f>
        <v/>
      </c>
      <c r="G24" s="11">
        <f>IF(B24="","",E24*F24)</f>
        <v/>
      </c>
      <c r="H24" s="3" t="n"/>
    </row>
    <row r="25">
      <c r="A25" s="3" t="n"/>
      <c r="B25" s="3" t="n"/>
      <c r="C25" s="10">
        <f>IF(B25="","",IFERROR(VLOOKUP(B25,Catalogo!$A:$F,2,FALSE),"CODIGO NO ENCONTRADO"))</f>
        <v/>
      </c>
      <c r="D25" s="10">
        <f>IF(B25="","",IFERROR(VLOOKUP(B25,Catalogo!$A:$F,4,FALSE),""))</f>
        <v/>
      </c>
      <c r="E25" s="3" t="n"/>
      <c r="F25" s="11">
        <f>IF(B25="","",IFERROR(VLOOKUP(B25,Catalogo!$A:$F,6,FALSE),0))</f>
        <v/>
      </c>
      <c r="G25" s="11">
        <f>IF(B25="","",E25*F25)</f>
        <v/>
      </c>
      <c r="H25" s="3" t="n"/>
    </row>
    <row r="26">
      <c r="A26" s="3" t="n"/>
      <c r="B26" s="3" t="n"/>
      <c r="C26" s="10">
        <f>IF(B26="","",IFERROR(VLOOKUP(B26,Catalogo!$A:$F,2,FALSE),"CODIGO NO ENCONTRADO"))</f>
        <v/>
      </c>
      <c r="D26" s="10">
        <f>IF(B26="","",IFERROR(VLOOKUP(B26,Catalogo!$A:$F,4,FALSE),""))</f>
        <v/>
      </c>
      <c r="E26" s="3" t="n"/>
      <c r="F26" s="11">
        <f>IF(B26="","",IFERROR(VLOOKUP(B26,Catalogo!$A:$F,6,FALSE),0))</f>
        <v/>
      </c>
      <c r="G26" s="11">
        <f>IF(B26="","",E26*F26)</f>
        <v/>
      </c>
      <c r="H26" s="3" t="n"/>
    </row>
    <row r="27">
      <c r="A27" s="3" t="n"/>
      <c r="B27" s="3" t="n"/>
      <c r="C27" s="10">
        <f>IF(B27="","",IFERROR(VLOOKUP(B27,Catalogo!$A:$F,2,FALSE),"CODIGO NO ENCONTRADO"))</f>
        <v/>
      </c>
      <c r="D27" s="10">
        <f>IF(B27="","",IFERROR(VLOOKUP(B27,Catalogo!$A:$F,4,FALSE),""))</f>
        <v/>
      </c>
      <c r="E27" s="3" t="n"/>
      <c r="F27" s="11">
        <f>IF(B27="","",IFERROR(VLOOKUP(B27,Catalogo!$A:$F,6,FALSE),0))</f>
        <v/>
      </c>
      <c r="G27" s="11">
        <f>IF(B27="","",E27*F27)</f>
        <v/>
      </c>
      <c r="H27" s="3" t="n"/>
    </row>
    <row r="28">
      <c r="A28" s="3" t="n"/>
      <c r="B28" s="3" t="n"/>
      <c r="C28" s="10">
        <f>IF(B28="","",IFERROR(VLOOKUP(B28,Catalogo!$A:$F,2,FALSE),"CODIGO NO ENCONTRADO"))</f>
        <v/>
      </c>
      <c r="D28" s="10">
        <f>IF(B28="","",IFERROR(VLOOKUP(B28,Catalogo!$A:$F,4,FALSE),""))</f>
        <v/>
      </c>
      <c r="E28" s="3" t="n"/>
      <c r="F28" s="11">
        <f>IF(B28="","",IFERROR(VLOOKUP(B28,Catalogo!$A:$F,6,FALSE),0))</f>
        <v/>
      </c>
      <c r="G28" s="11">
        <f>IF(B28="","",E28*F28)</f>
        <v/>
      </c>
      <c r="H28" s="3" t="n"/>
    </row>
    <row r="29">
      <c r="A29" s="3" t="n"/>
      <c r="B29" s="3" t="n"/>
      <c r="C29" s="10">
        <f>IF(B29="","",IFERROR(VLOOKUP(B29,Catalogo!$A:$F,2,FALSE),"CODIGO NO ENCONTRADO"))</f>
        <v/>
      </c>
      <c r="D29" s="10">
        <f>IF(B29="","",IFERROR(VLOOKUP(B29,Catalogo!$A:$F,4,FALSE),""))</f>
        <v/>
      </c>
      <c r="E29" s="3" t="n"/>
      <c r="F29" s="11">
        <f>IF(B29="","",IFERROR(VLOOKUP(B29,Catalogo!$A:$F,6,FALSE),0))</f>
        <v/>
      </c>
      <c r="G29" s="11">
        <f>IF(B29="","",E29*F29)</f>
        <v/>
      </c>
      <c r="H29" s="3" t="n"/>
    </row>
    <row r="30">
      <c r="A30" s="3" t="n"/>
      <c r="B30" s="3" t="n"/>
      <c r="C30" s="10">
        <f>IF(B30="","",IFERROR(VLOOKUP(B30,Catalogo!$A:$F,2,FALSE),"CODIGO NO ENCONTRADO"))</f>
        <v/>
      </c>
      <c r="D30" s="10">
        <f>IF(B30="","",IFERROR(VLOOKUP(B30,Catalogo!$A:$F,4,FALSE),""))</f>
        <v/>
      </c>
      <c r="E30" s="3" t="n"/>
      <c r="F30" s="11">
        <f>IF(B30="","",IFERROR(VLOOKUP(B30,Catalogo!$A:$F,6,FALSE),0))</f>
        <v/>
      </c>
      <c r="G30" s="11">
        <f>IF(B30="","",E30*F30)</f>
        <v/>
      </c>
      <c r="H30" s="3" t="n"/>
    </row>
    <row r="31">
      <c r="A31" s="3" t="n"/>
      <c r="B31" s="3" t="n"/>
      <c r="C31" s="10">
        <f>IF(B31="","",IFERROR(VLOOKUP(B31,Catalogo!$A:$F,2,FALSE),"CODIGO NO ENCONTRADO"))</f>
        <v/>
      </c>
      <c r="D31" s="10">
        <f>IF(B31="","",IFERROR(VLOOKUP(B31,Catalogo!$A:$F,4,FALSE),""))</f>
        <v/>
      </c>
      <c r="E31" s="3" t="n"/>
      <c r="F31" s="11">
        <f>IF(B31="","",IFERROR(VLOOKUP(B31,Catalogo!$A:$F,6,FALSE),0))</f>
        <v/>
      </c>
      <c r="G31" s="11">
        <f>IF(B31="","",E31*F31)</f>
        <v/>
      </c>
      <c r="H31" s="3" t="n"/>
    </row>
    <row r="32">
      <c r="A32" s="3" t="n"/>
      <c r="B32" s="3" t="n"/>
      <c r="C32" s="10">
        <f>IF(B32="","",IFERROR(VLOOKUP(B32,Catalogo!$A:$F,2,FALSE),"CODIGO NO ENCONTRADO"))</f>
        <v/>
      </c>
      <c r="D32" s="10">
        <f>IF(B32="","",IFERROR(VLOOKUP(B32,Catalogo!$A:$F,4,FALSE),""))</f>
        <v/>
      </c>
      <c r="E32" s="3" t="n"/>
      <c r="F32" s="11">
        <f>IF(B32="","",IFERROR(VLOOKUP(B32,Catalogo!$A:$F,6,FALSE),0))</f>
        <v/>
      </c>
      <c r="G32" s="11">
        <f>IF(B32="","",E32*F32)</f>
        <v/>
      </c>
      <c r="H32" s="3" t="n"/>
    </row>
    <row r="33">
      <c r="A33" s="3" t="n"/>
      <c r="B33" s="3" t="n"/>
      <c r="C33" s="10">
        <f>IF(B33="","",IFERROR(VLOOKUP(B33,Catalogo!$A:$F,2,FALSE),"CODIGO NO ENCONTRADO"))</f>
        <v/>
      </c>
      <c r="D33" s="10">
        <f>IF(B33="","",IFERROR(VLOOKUP(B33,Catalogo!$A:$F,4,FALSE),""))</f>
        <v/>
      </c>
      <c r="E33" s="3" t="n"/>
      <c r="F33" s="11">
        <f>IF(B33="","",IFERROR(VLOOKUP(B33,Catalogo!$A:$F,6,FALSE),0))</f>
        <v/>
      </c>
      <c r="G33" s="11">
        <f>IF(B33="","",E33*F33)</f>
        <v/>
      </c>
      <c r="H33" s="3" t="n"/>
    </row>
    <row r="34">
      <c r="A34" s="3" t="n"/>
      <c r="B34" s="3" t="n"/>
      <c r="C34" s="10">
        <f>IF(B34="","",IFERROR(VLOOKUP(B34,Catalogo!$A:$F,2,FALSE),"CODIGO NO ENCONTRADO"))</f>
        <v/>
      </c>
      <c r="D34" s="10">
        <f>IF(B34="","",IFERROR(VLOOKUP(B34,Catalogo!$A:$F,4,FALSE),""))</f>
        <v/>
      </c>
      <c r="E34" s="3" t="n"/>
      <c r="F34" s="11">
        <f>IF(B34="","",IFERROR(VLOOKUP(B34,Catalogo!$A:$F,6,FALSE),0))</f>
        <v/>
      </c>
      <c r="G34" s="11">
        <f>IF(B34="","",E34*F34)</f>
        <v/>
      </c>
      <c r="H34" s="3" t="n"/>
    </row>
    <row r="35">
      <c r="A35" s="3" t="n"/>
      <c r="B35" s="3" t="n"/>
      <c r="C35" s="10">
        <f>IF(B35="","",IFERROR(VLOOKUP(B35,Catalogo!$A:$F,2,FALSE),"CODIGO NO ENCONTRADO"))</f>
        <v/>
      </c>
      <c r="D35" s="10">
        <f>IF(B35="","",IFERROR(VLOOKUP(B35,Catalogo!$A:$F,4,FALSE),""))</f>
        <v/>
      </c>
      <c r="E35" s="3" t="n"/>
      <c r="F35" s="11">
        <f>IF(B35="","",IFERROR(VLOOKUP(B35,Catalogo!$A:$F,6,FALSE),0))</f>
        <v/>
      </c>
      <c r="G35" s="11">
        <f>IF(B35="","",E35*F35)</f>
        <v/>
      </c>
      <c r="H35" s="3" t="n"/>
    </row>
    <row r="36">
      <c r="A36" s="3" t="n"/>
      <c r="B36" s="3" t="n"/>
      <c r="C36" s="10">
        <f>IF(B36="","",IFERROR(VLOOKUP(B36,Catalogo!$A:$F,2,FALSE),"CODIGO NO ENCONTRADO"))</f>
        <v/>
      </c>
      <c r="D36" s="10">
        <f>IF(B36="","",IFERROR(VLOOKUP(B36,Catalogo!$A:$F,4,FALSE),""))</f>
        <v/>
      </c>
      <c r="E36" s="3" t="n"/>
      <c r="F36" s="11">
        <f>IF(B36="","",IFERROR(VLOOKUP(B36,Catalogo!$A:$F,6,FALSE),0))</f>
        <v/>
      </c>
      <c r="G36" s="11">
        <f>IF(B36="","",E36*F36)</f>
        <v/>
      </c>
      <c r="H36" s="3" t="n"/>
    </row>
    <row r="37">
      <c r="A37" s="3" t="n"/>
      <c r="B37" s="3" t="n"/>
      <c r="C37" s="10">
        <f>IF(B37="","",IFERROR(VLOOKUP(B37,Catalogo!$A:$F,2,FALSE),"CODIGO NO ENCONTRADO"))</f>
        <v/>
      </c>
      <c r="D37" s="10">
        <f>IF(B37="","",IFERROR(VLOOKUP(B37,Catalogo!$A:$F,4,FALSE),""))</f>
        <v/>
      </c>
      <c r="E37" s="3" t="n"/>
      <c r="F37" s="11">
        <f>IF(B37="","",IFERROR(VLOOKUP(B37,Catalogo!$A:$F,6,FALSE),0))</f>
        <v/>
      </c>
      <c r="G37" s="11">
        <f>IF(B37="","",E37*F37)</f>
        <v/>
      </c>
      <c r="H37" s="3" t="n"/>
    </row>
    <row r="38">
      <c r="A38" s="3" t="n"/>
      <c r="B38" s="3" t="n"/>
      <c r="C38" s="10">
        <f>IF(B38="","",IFERROR(VLOOKUP(B38,Catalogo!$A:$F,2,FALSE),"CODIGO NO ENCONTRADO"))</f>
        <v/>
      </c>
      <c r="D38" s="10">
        <f>IF(B38="","",IFERROR(VLOOKUP(B38,Catalogo!$A:$F,4,FALSE),""))</f>
        <v/>
      </c>
      <c r="E38" s="3" t="n"/>
      <c r="F38" s="11">
        <f>IF(B38="","",IFERROR(VLOOKUP(B38,Catalogo!$A:$F,6,FALSE),0))</f>
        <v/>
      </c>
      <c r="G38" s="11">
        <f>IF(B38="","",E38*F38)</f>
        <v/>
      </c>
      <c r="H38" s="3" t="n"/>
    </row>
    <row r="39">
      <c r="A39" s="3" t="n"/>
      <c r="B39" s="3" t="n"/>
      <c r="C39" s="10">
        <f>IF(B39="","",IFERROR(VLOOKUP(B39,Catalogo!$A:$F,2,FALSE),"CODIGO NO ENCONTRADO"))</f>
        <v/>
      </c>
      <c r="D39" s="10">
        <f>IF(B39="","",IFERROR(VLOOKUP(B39,Catalogo!$A:$F,4,FALSE),""))</f>
        <v/>
      </c>
      <c r="E39" s="3" t="n"/>
      <c r="F39" s="11">
        <f>IF(B39="","",IFERROR(VLOOKUP(B39,Catalogo!$A:$F,6,FALSE),0))</f>
        <v/>
      </c>
      <c r="G39" s="11">
        <f>IF(B39="","",E39*F39)</f>
        <v/>
      </c>
      <c r="H39" s="3" t="n"/>
    </row>
    <row r="40">
      <c r="A40" s="3" t="n"/>
      <c r="B40" s="3" t="n"/>
      <c r="C40" s="10">
        <f>IF(B40="","",IFERROR(VLOOKUP(B40,Catalogo!$A:$F,2,FALSE),"CODIGO NO ENCONTRADO"))</f>
        <v/>
      </c>
      <c r="D40" s="10">
        <f>IF(B40="","",IFERROR(VLOOKUP(B40,Catalogo!$A:$F,4,FALSE),""))</f>
        <v/>
      </c>
      <c r="E40" s="3" t="n"/>
      <c r="F40" s="11">
        <f>IF(B40="","",IFERROR(VLOOKUP(B40,Catalogo!$A:$F,6,FALSE),0))</f>
        <v/>
      </c>
      <c r="G40" s="11">
        <f>IF(B40="","",E40*F40)</f>
        <v/>
      </c>
      <c r="H40" s="3" t="n"/>
    </row>
    <row r="41">
      <c r="A41" s="3" t="n"/>
      <c r="B41" s="3" t="n"/>
      <c r="C41" s="10">
        <f>IF(B41="","",IFERROR(VLOOKUP(B41,Catalogo!$A:$F,2,FALSE),"CODIGO NO ENCONTRADO"))</f>
        <v/>
      </c>
      <c r="D41" s="10">
        <f>IF(B41="","",IFERROR(VLOOKUP(B41,Catalogo!$A:$F,4,FALSE),""))</f>
        <v/>
      </c>
      <c r="E41" s="3" t="n"/>
      <c r="F41" s="11">
        <f>IF(B41="","",IFERROR(VLOOKUP(B41,Catalogo!$A:$F,6,FALSE),0))</f>
        <v/>
      </c>
      <c r="G41" s="11">
        <f>IF(B41="","",E41*F41)</f>
        <v/>
      </c>
      <c r="H41" s="3" t="n"/>
    </row>
    <row r="42">
      <c r="A42" s="3" t="n"/>
      <c r="B42" s="3" t="n"/>
      <c r="C42" s="10">
        <f>IF(B42="","",IFERROR(VLOOKUP(B42,Catalogo!$A:$F,2,FALSE),"CODIGO NO ENCONTRADO"))</f>
        <v/>
      </c>
      <c r="D42" s="10">
        <f>IF(B42="","",IFERROR(VLOOKUP(B42,Catalogo!$A:$F,4,FALSE),""))</f>
        <v/>
      </c>
      <c r="E42" s="3" t="n"/>
      <c r="F42" s="11">
        <f>IF(B42="","",IFERROR(VLOOKUP(B42,Catalogo!$A:$F,6,FALSE),0))</f>
        <v/>
      </c>
      <c r="G42" s="11">
        <f>IF(B42="","",E42*F42)</f>
        <v/>
      </c>
      <c r="H42" s="3" t="n"/>
    </row>
    <row r="43">
      <c r="A43" s="3" t="n"/>
      <c r="B43" s="3" t="n"/>
      <c r="C43" s="10">
        <f>IF(B43="","",IFERROR(VLOOKUP(B43,Catalogo!$A:$F,2,FALSE),"CODIGO NO ENCONTRADO"))</f>
        <v/>
      </c>
      <c r="D43" s="10">
        <f>IF(B43="","",IFERROR(VLOOKUP(B43,Catalogo!$A:$F,4,FALSE),""))</f>
        <v/>
      </c>
      <c r="E43" s="3" t="n"/>
      <c r="F43" s="11">
        <f>IF(B43="","",IFERROR(VLOOKUP(B43,Catalogo!$A:$F,6,FALSE),0))</f>
        <v/>
      </c>
      <c r="G43" s="11">
        <f>IF(B43="","",E43*F43)</f>
        <v/>
      </c>
      <c r="H43" s="3" t="n"/>
    </row>
    <row r="44">
      <c r="A44" s="3" t="n"/>
      <c r="B44" s="3" t="n"/>
      <c r="C44" s="10">
        <f>IF(B44="","",IFERROR(VLOOKUP(B44,Catalogo!$A:$F,2,FALSE),"CODIGO NO ENCONTRADO"))</f>
        <v/>
      </c>
      <c r="D44" s="10">
        <f>IF(B44="","",IFERROR(VLOOKUP(B44,Catalogo!$A:$F,4,FALSE),""))</f>
        <v/>
      </c>
      <c r="E44" s="3" t="n"/>
      <c r="F44" s="11">
        <f>IF(B44="","",IFERROR(VLOOKUP(B44,Catalogo!$A:$F,6,FALSE),0))</f>
        <v/>
      </c>
      <c r="G44" s="11">
        <f>IF(B44="","",E44*F44)</f>
        <v/>
      </c>
      <c r="H44" s="3" t="n"/>
    </row>
    <row r="45">
      <c r="A45" s="3" t="n"/>
      <c r="B45" s="3" t="n"/>
      <c r="C45" s="10">
        <f>IF(B45="","",IFERROR(VLOOKUP(B45,Catalogo!$A:$F,2,FALSE),"CODIGO NO ENCONTRADO"))</f>
        <v/>
      </c>
      <c r="D45" s="10">
        <f>IF(B45="","",IFERROR(VLOOKUP(B45,Catalogo!$A:$F,4,FALSE),""))</f>
        <v/>
      </c>
      <c r="E45" s="3" t="n"/>
      <c r="F45" s="11">
        <f>IF(B45="","",IFERROR(VLOOKUP(B45,Catalogo!$A:$F,6,FALSE),0))</f>
        <v/>
      </c>
      <c r="G45" s="11">
        <f>IF(B45="","",E45*F45)</f>
        <v/>
      </c>
      <c r="H45" s="3" t="n"/>
    </row>
    <row r="46">
      <c r="A46" s="3" t="n"/>
      <c r="B46" s="3" t="n"/>
      <c r="C46" s="10">
        <f>IF(B46="","",IFERROR(VLOOKUP(B46,Catalogo!$A:$F,2,FALSE),"CODIGO NO ENCONTRADO"))</f>
        <v/>
      </c>
      <c r="D46" s="10">
        <f>IF(B46="","",IFERROR(VLOOKUP(B46,Catalogo!$A:$F,4,FALSE),""))</f>
        <v/>
      </c>
      <c r="E46" s="3" t="n"/>
      <c r="F46" s="11">
        <f>IF(B46="","",IFERROR(VLOOKUP(B46,Catalogo!$A:$F,6,FALSE),0))</f>
        <v/>
      </c>
      <c r="G46" s="11">
        <f>IF(B46="","",E46*F46)</f>
        <v/>
      </c>
      <c r="H46" s="3" t="n"/>
    </row>
    <row r="47">
      <c r="A47" s="3" t="n"/>
      <c r="B47" s="3" t="n"/>
      <c r="C47" s="10">
        <f>IF(B47="","",IFERROR(VLOOKUP(B47,Catalogo!$A:$F,2,FALSE),"CODIGO NO ENCONTRADO"))</f>
        <v/>
      </c>
      <c r="D47" s="10">
        <f>IF(B47="","",IFERROR(VLOOKUP(B47,Catalogo!$A:$F,4,FALSE),""))</f>
        <v/>
      </c>
      <c r="E47" s="3" t="n"/>
      <c r="F47" s="11">
        <f>IF(B47="","",IFERROR(VLOOKUP(B47,Catalogo!$A:$F,6,FALSE),0))</f>
        <v/>
      </c>
      <c r="G47" s="11">
        <f>IF(B47="","",E47*F47)</f>
        <v/>
      </c>
      <c r="H47" s="3" t="n"/>
    </row>
    <row r="48">
      <c r="A48" s="3" t="n"/>
      <c r="B48" s="3" t="n"/>
      <c r="C48" s="10">
        <f>IF(B48="","",IFERROR(VLOOKUP(B48,Catalogo!$A:$F,2,FALSE),"CODIGO NO ENCONTRADO"))</f>
        <v/>
      </c>
      <c r="D48" s="10">
        <f>IF(B48="","",IFERROR(VLOOKUP(B48,Catalogo!$A:$F,4,FALSE),""))</f>
        <v/>
      </c>
      <c r="E48" s="3" t="n"/>
      <c r="F48" s="11">
        <f>IF(B48="","",IFERROR(VLOOKUP(B48,Catalogo!$A:$F,6,FALSE),0))</f>
        <v/>
      </c>
      <c r="G48" s="11">
        <f>IF(B48="","",E48*F48)</f>
        <v/>
      </c>
      <c r="H48" s="3" t="n"/>
    </row>
    <row r="49">
      <c r="A49" s="3" t="n"/>
      <c r="B49" s="3" t="n"/>
      <c r="C49" s="10">
        <f>IF(B49="","",IFERROR(VLOOKUP(B49,Catalogo!$A:$F,2,FALSE),"CODIGO NO ENCONTRADO"))</f>
        <v/>
      </c>
      <c r="D49" s="10">
        <f>IF(B49="","",IFERROR(VLOOKUP(B49,Catalogo!$A:$F,4,FALSE),""))</f>
        <v/>
      </c>
      <c r="E49" s="3" t="n"/>
      <c r="F49" s="11">
        <f>IF(B49="","",IFERROR(VLOOKUP(B49,Catalogo!$A:$F,6,FALSE),0))</f>
        <v/>
      </c>
      <c r="G49" s="11">
        <f>IF(B49="","",E49*F49)</f>
        <v/>
      </c>
      <c r="H49" s="3" t="n"/>
    </row>
    <row r="50">
      <c r="A50" s="3" t="n"/>
      <c r="B50" s="3" t="n"/>
      <c r="C50" s="10">
        <f>IF(B50="","",IFERROR(VLOOKUP(B50,Catalogo!$A:$F,2,FALSE),"CODIGO NO ENCONTRADO"))</f>
        <v/>
      </c>
      <c r="D50" s="10">
        <f>IF(B50="","",IFERROR(VLOOKUP(B50,Catalogo!$A:$F,4,FALSE),""))</f>
        <v/>
      </c>
      <c r="E50" s="3" t="n"/>
      <c r="F50" s="11">
        <f>IF(B50="","",IFERROR(VLOOKUP(B50,Catalogo!$A:$F,6,FALSE),0))</f>
        <v/>
      </c>
      <c r="G50" s="11">
        <f>IF(B50="","",E50*F50)</f>
        <v/>
      </c>
      <c r="H50" s="3" t="n"/>
    </row>
    <row r="51">
      <c r="A51" s="3" t="n"/>
      <c r="B51" s="3" t="n"/>
      <c r="C51" s="10">
        <f>IF(B51="","",IFERROR(VLOOKUP(B51,Catalogo!$A:$F,2,FALSE),"CODIGO NO ENCONTRADO"))</f>
        <v/>
      </c>
      <c r="D51" s="10">
        <f>IF(B51="","",IFERROR(VLOOKUP(B51,Catalogo!$A:$F,4,FALSE),""))</f>
        <v/>
      </c>
      <c r="E51" s="3" t="n"/>
      <c r="F51" s="11">
        <f>IF(B51="","",IFERROR(VLOOKUP(B51,Catalogo!$A:$F,6,FALSE),0))</f>
        <v/>
      </c>
      <c r="G51" s="11">
        <f>IF(B51="","",E51*F51)</f>
        <v/>
      </c>
      <c r="H51" s="3" t="n"/>
    </row>
    <row r="52">
      <c r="A52" s="3" t="n"/>
      <c r="B52" s="3" t="n"/>
      <c r="C52" s="10">
        <f>IF(B52="","",IFERROR(VLOOKUP(B52,Catalogo!$A:$F,2,FALSE),"CODIGO NO ENCONTRADO"))</f>
        <v/>
      </c>
      <c r="D52" s="10">
        <f>IF(B52="","",IFERROR(VLOOKUP(B52,Catalogo!$A:$F,4,FALSE),""))</f>
        <v/>
      </c>
      <c r="E52" s="3" t="n"/>
      <c r="F52" s="11">
        <f>IF(B52="","",IFERROR(VLOOKUP(B52,Catalogo!$A:$F,6,FALSE),0))</f>
        <v/>
      </c>
      <c r="G52" s="11">
        <f>IF(B52="","",E52*F52)</f>
        <v/>
      </c>
      <c r="H52" s="3" t="n"/>
    </row>
    <row r="53">
      <c r="A53" s="3" t="n"/>
      <c r="B53" s="3" t="n"/>
      <c r="C53" s="10">
        <f>IF(B53="","",IFERROR(VLOOKUP(B53,Catalogo!$A:$F,2,FALSE),"CODIGO NO ENCONTRADO"))</f>
        <v/>
      </c>
      <c r="D53" s="10">
        <f>IF(B53="","",IFERROR(VLOOKUP(B53,Catalogo!$A:$F,4,FALSE),""))</f>
        <v/>
      </c>
      <c r="E53" s="3" t="n"/>
      <c r="F53" s="11">
        <f>IF(B53="","",IFERROR(VLOOKUP(B53,Catalogo!$A:$F,6,FALSE),0))</f>
        <v/>
      </c>
      <c r="G53" s="11">
        <f>IF(B53="","",E53*F53)</f>
        <v/>
      </c>
      <c r="H53" s="3" t="n"/>
    </row>
    <row r="54">
      <c r="A54" s="3" t="n"/>
      <c r="B54" s="3" t="n"/>
      <c r="C54" s="10">
        <f>IF(B54="","",IFERROR(VLOOKUP(B54,Catalogo!$A:$F,2,FALSE),"CODIGO NO ENCONTRADO"))</f>
        <v/>
      </c>
      <c r="D54" s="10">
        <f>IF(B54="","",IFERROR(VLOOKUP(B54,Catalogo!$A:$F,4,FALSE),""))</f>
        <v/>
      </c>
      <c r="E54" s="3" t="n"/>
      <c r="F54" s="11">
        <f>IF(B54="","",IFERROR(VLOOKUP(B54,Catalogo!$A:$F,6,FALSE),0))</f>
        <v/>
      </c>
      <c r="G54" s="11">
        <f>IF(B54="","",E54*F54)</f>
        <v/>
      </c>
      <c r="H54" s="3" t="n"/>
    </row>
    <row r="55">
      <c r="A55" s="3" t="n"/>
      <c r="B55" s="3" t="n"/>
      <c r="C55" s="10">
        <f>IF(B55="","",IFERROR(VLOOKUP(B55,Catalogo!$A:$F,2,FALSE),"CODIGO NO ENCONTRADO"))</f>
        <v/>
      </c>
      <c r="D55" s="10">
        <f>IF(B55="","",IFERROR(VLOOKUP(B55,Catalogo!$A:$F,4,FALSE),""))</f>
        <v/>
      </c>
      <c r="E55" s="3" t="n"/>
      <c r="F55" s="11">
        <f>IF(B55="","",IFERROR(VLOOKUP(B55,Catalogo!$A:$F,6,FALSE),0))</f>
        <v/>
      </c>
      <c r="G55" s="11">
        <f>IF(B55="","",E55*F55)</f>
        <v/>
      </c>
      <c r="H55" s="3" t="n"/>
    </row>
    <row r="56">
      <c r="A56" s="3" t="n"/>
      <c r="B56" s="3" t="n"/>
      <c r="C56" s="10">
        <f>IF(B56="","",IFERROR(VLOOKUP(B56,Catalogo!$A:$F,2,FALSE),"CODIGO NO ENCONTRADO"))</f>
        <v/>
      </c>
      <c r="D56" s="10">
        <f>IF(B56="","",IFERROR(VLOOKUP(B56,Catalogo!$A:$F,4,FALSE),""))</f>
        <v/>
      </c>
      <c r="E56" s="3" t="n"/>
      <c r="F56" s="11">
        <f>IF(B56="","",IFERROR(VLOOKUP(B56,Catalogo!$A:$F,6,FALSE),0))</f>
        <v/>
      </c>
      <c r="G56" s="11">
        <f>IF(B56="","",E56*F56)</f>
        <v/>
      </c>
      <c r="H56" s="3" t="n"/>
    </row>
    <row r="57">
      <c r="A57" s="3" t="n"/>
      <c r="B57" s="3" t="n"/>
      <c r="C57" s="10">
        <f>IF(B57="","",IFERROR(VLOOKUP(B57,Catalogo!$A:$F,2,FALSE),"CODIGO NO ENCONTRADO"))</f>
        <v/>
      </c>
      <c r="D57" s="10">
        <f>IF(B57="","",IFERROR(VLOOKUP(B57,Catalogo!$A:$F,4,FALSE),""))</f>
        <v/>
      </c>
      <c r="E57" s="3" t="n"/>
      <c r="F57" s="11">
        <f>IF(B57="","",IFERROR(VLOOKUP(B57,Catalogo!$A:$F,6,FALSE),0))</f>
        <v/>
      </c>
      <c r="G57" s="11">
        <f>IF(B57="","",E57*F57)</f>
        <v/>
      </c>
      <c r="H57" s="3" t="n"/>
    </row>
    <row r="58">
      <c r="A58" s="3" t="n"/>
      <c r="B58" s="3" t="n"/>
      <c r="C58" s="10">
        <f>IF(B58="","",IFERROR(VLOOKUP(B58,Catalogo!$A:$F,2,FALSE),"CODIGO NO ENCONTRADO"))</f>
        <v/>
      </c>
      <c r="D58" s="10">
        <f>IF(B58="","",IFERROR(VLOOKUP(B58,Catalogo!$A:$F,4,FALSE),""))</f>
        <v/>
      </c>
      <c r="E58" s="3" t="n"/>
      <c r="F58" s="11">
        <f>IF(B58="","",IFERROR(VLOOKUP(B58,Catalogo!$A:$F,6,FALSE),0))</f>
        <v/>
      </c>
      <c r="G58" s="11">
        <f>IF(B58="","",E58*F58)</f>
        <v/>
      </c>
      <c r="H58" s="3" t="n"/>
    </row>
    <row r="59">
      <c r="A59" s="3" t="n"/>
      <c r="B59" s="3" t="n"/>
      <c r="C59" s="10">
        <f>IF(B59="","",IFERROR(VLOOKUP(B59,Catalogo!$A:$F,2,FALSE),"CODIGO NO ENCONTRADO"))</f>
        <v/>
      </c>
      <c r="D59" s="10">
        <f>IF(B59="","",IFERROR(VLOOKUP(B59,Catalogo!$A:$F,4,FALSE),""))</f>
        <v/>
      </c>
      <c r="E59" s="3" t="n"/>
      <c r="F59" s="11">
        <f>IF(B59="","",IFERROR(VLOOKUP(B59,Catalogo!$A:$F,6,FALSE),0))</f>
        <v/>
      </c>
      <c r="G59" s="11">
        <f>IF(B59="","",E59*F59)</f>
        <v/>
      </c>
      <c r="H59" s="3" t="n"/>
    </row>
    <row r="60">
      <c r="A60" s="3" t="n"/>
      <c r="B60" s="3" t="n"/>
      <c r="C60" s="10">
        <f>IF(B60="","",IFERROR(VLOOKUP(B60,Catalogo!$A:$F,2,FALSE),"CODIGO NO ENCONTRADO"))</f>
        <v/>
      </c>
      <c r="D60" s="10">
        <f>IF(B60="","",IFERROR(VLOOKUP(B60,Catalogo!$A:$F,4,FALSE),""))</f>
        <v/>
      </c>
      <c r="E60" s="3" t="n"/>
      <c r="F60" s="11">
        <f>IF(B60="","",IFERROR(VLOOKUP(B60,Catalogo!$A:$F,6,FALSE),0))</f>
        <v/>
      </c>
      <c r="G60" s="11">
        <f>IF(B60="","",E60*F60)</f>
        <v/>
      </c>
      <c r="H60" s="3" t="n"/>
    </row>
    <row r="61">
      <c r="A61" s="3" t="n"/>
      <c r="B61" s="3" t="n"/>
      <c r="C61" s="10">
        <f>IF(B61="","",IFERROR(VLOOKUP(B61,Catalogo!$A:$F,2,FALSE),"CODIGO NO ENCONTRADO"))</f>
        <v/>
      </c>
      <c r="D61" s="10">
        <f>IF(B61="","",IFERROR(VLOOKUP(B61,Catalogo!$A:$F,4,FALSE),""))</f>
        <v/>
      </c>
      <c r="E61" s="3" t="n"/>
      <c r="F61" s="11">
        <f>IF(B61="","",IFERROR(VLOOKUP(B61,Catalogo!$A:$F,6,FALSE),0))</f>
        <v/>
      </c>
      <c r="G61" s="11">
        <f>IF(B61="","",E61*F61)</f>
        <v/>
      </c>
      <c r="H61" s="3" t="n"/>
    </row>
    <row r="62">
      <c r="A62" s="3" t="n"/>
      <c r="B62" s="3" t="n"/>
      <c r="C62" s="10">
        <f>IF(B62="","",IFERROR(VLOOKUP(B62,Catalogo!$A:$F,2,FALSE),"CODIGO NO ENCONTRADO"))</f>
        <v/>
      </c>
      <c r="D62" s="10">
        <f>IF(B62="","",IFERROR(VLOOKUP(B62,Catalogo!$A:$F,4,FALSE),""))</f>
        <v/>
      </c>
      <c r="E62" s="3" t="n"/>
      <c r="F62" s="11">
        <f>IF(B62="","",IFERROR(VLOOKUP(B62,Catalogo!$A:$F,6,FALSE),0))</f>
        <v/>
      </c>
      <c r="G62" s="11">
        <f>IF(B62="","",E62*F62)</f>
        <v/>
      </c>
      <c r="H62" s="3" t="n"/>
    </row>
    <row r="63">
      <c r="A63" s="3" t="n"/>
      <c r="B63" s="3" t="n"/>
      <c r="C63" s="10">
        <f>IF(B63="","",IFERROR(VLOOKUP(B63,Catalogo!$A:$F,2,FALSE),"CODIGO NO ENCONTRADO"))</f>
        <v/>
      </c>
      <c r="D63" s="10">
        <f>IF(B63="","",IFERROR(VLOOKUP(B63,Catalogo!$A:$F,4,FALSE),""))</f>
        <v/>
      </c>
      <c r="E63" s="3" t="n"/>
      <c r="F63" s="11">
        <f>IF(B63="","",IFERROR(VLOOKUP(B63,Catalogo!$A:$F,6,FALSE),0))</f>
        <v/>
      </c>
      <c r="G63" s="11">
        <f>IF(B63="","",E63*F63)</f>
        <v/>
      </c>
      <c r="H63" s="3" t="n"/>
    </row>
    <row r="64">
      <c r="A64" s="3" t="n"/>
      <c r="B64" s="3" t="n"/>
      <c r="C64" s="10">
        <f>IF(B64="","",IFERROR(VLOOKUP(B64,Catalogo!$A:$F,2,FALSE),"CODIGO NO ENCONTRADO"))</f>
        <v/>
      </c>
      <c r="D64" s="10">
        <f>IF(B64="","",IFERROR(VLOOKUP(B64,Catalogo!$A:$F,4,FALSE),""))</f>
        <v/>
      </c>
      <c r="E64" s="3" t="n"/>
      <c r="F64" s="11">
        <f>IF(B64="","",IFERROR(VLOOKUP(B64,Catalogo!$A:$F,6,FALSE),0))</f>
        <v/>
      </c>
      <c r="G64" s="11">
        <f>IF(B64="","",E64*F64)</f>
        <v/>
      </c>
      <c r="H64" s="3" t="n"/>
    </row>
    <row r="65">
      <c r="A65" s="3" t="n"/>
      <c r="B65" s="3" t="n"/>
      <c r="C65" s="10">
        <f>IF(B65="","",IFERROR(VLOOKUP(B65,Catalogo!$A:$F,2,FALSE),"CODIGO NO ENCONTRADO"))</f>
        <v/>
      </c>
      <c r="D65" s="10">
        <f>IF(B65="","",IFERROR(VLOOKUP(B65,Catalogo!$A:$F,4,FALSE),""))</f>
        <v/>
      </c>
      <c r="E65" s="3" t="n"/>
      <c r="F65" s="11">
        <f>IF(B65="","",IFERROR(VLOOKUP(B65,Catalogo!$A:$F,6,FALSE),0))</f>
        <v/>
      </c>
      <c r="G65" s="11">
        <f>IF(B65="","",E65*F65)</f>
        <v/>
      </c>
      <c r="H65" s="3" t="n"/>
    </row>
    <row r="66">
      <c r="A66" s="3" t="n"/>
      <c r="B66" s="3" t="n"/>
      <c r="C66" s="10">
        <f>IF(B66="","",IFERROR(VLOOKUP(B66,Catalogo!$A:$F,2,FALSE),"CODIGO NO ENCONTRADO"))</f>
        <v/>
      </c>
      <c r="D66" s="10">
        <f>IF(B66="","",IFERROR(VLOOKUP(B66,Catalogo!$A:$F,4,FALSE),""))</f>
        <v/>
      </c>
      <c r="E66" s="3" t="n"/>
      <c r="F66" s="11">
        <f>IF(B66="","",IFERROR(VLOOKUP(B66,Catalogo!$A:$F,6,FALSE),0))</f>
        <v/>
      </c>
      <c r="G66" s="11">
        <f>IF(B66="","",E66*F66)</f>
        <v/>
      </c>
      <c r="H66" s="3" t="n"/>
    </row>
    <row r="67">
      <c r="A67" s="3" t="n"/>
      <c r="B67" s="3" t="n"/>
      <c r="C67" s="10">
        <f>IF(B67="","",IFERROR(VLOOKUP(B67,Catalogo!$A:$F,2,FALSE),"CODIGO NO ENCONTRADO"))</f>
        <v/>
      </c>
      <c r="D67" s="10">
        <f>IF(B67="","",IFERROR(VLOOKUP(B67,Catalogo!$A:$F,4,FALSE),""))</f>
        <v/>
      </c>
      <c r="E67" s="3" t="n"/>
      <c r="F67" s="11">
        <f>IF(B67="","",IFERROR(VLOOKUP(B67,Catalogo!$A:$F,6,FALSE),0))</f>
        <v/>
      </c>
      <c r="G67" s="11">
        <f>IF(B67="","",E67*F67)</f>
        <v/>
      </c>
      <c r="H67" s="3" t="n"/>
    </row>
    <row r="68">
      <c r="A68" s="3" t="n"/>
      <c r="B68" s="3" t="n"/>
      <c r="C68" s="10">
        <f>IF(B68="","",IFERROR(VLOOKUP(B68,Catalogo!$A:$F,2,FALSE),"CODIGO NO ENCONTRADO"))</f>
        <v/>
      </c>
      <c r="D68" s="10">
        <f>IF(B68="","",IFERROR(VLOOKUP(B68,Catalogo!$A:$F,4,FALSE),""))</f>
        <v/>
      </c>
      <c r="E68" s="3" t="n"/>
      <c r="F68" s="11">
        <f>IF(B68="","",IFERROR(VLOOKUP(B68,Catalogo!$A:$F,6,FALSE),0))</f>
        <v/>
      </c>
      <c r="G68" s="11">
        <f>IF(B68="","",E68*F68)</f>
        <v/>
      </c>
      <c r="H68" s="3" t="n"/>
    </row>
    <row r="69">
      <c r="A69" s="3" t="n"/>
      <c r="B69" s="3" t="n"/>
      <c r="C69" s="10">
        <f>IF(B69="","",IFERROR(VLOOKUP(B69,Catalogo!$A:$F,2,FALSE),"CODIGO NO ENCONTRADO"))</f>
        <v/>
      </c>
      <c r="D69" s="10">
        <f>IF(B69="","",IFERROR(VLOOKUP(B69,Catalogo!$A:$F,4,FALSE),""))</f>
        <v/>
      </c>
      <c r="E69" s="3" t="n"/>
      <c r="F69" s="11">
        <f>IF(B69="","",IFERROR(VLOOKUP(B69,Catalogo!$A:$F,6,FALSE),0))</f>
        <v/>
      </c>
      <c r="G69" s="11">
        <f>IF(B69="","",E69*F69)</f>
        <v/>
      </c>
      <c r="H69" s="3" t="n"/>
    </row>
    <row r="70">
      <c r="A70" s="3" t="n"/>
      <c r="B70" s="3" t="n"/>
      <c r="C70" s="10">
        <f>IF(B70="","",IFERROR(VLOOKUP(B70,Catalogo!$A:$F,2,FALSE),"CODIGO NO ENCONTRADO"))</f>
        <v/>
      </c>
      <c r="D70" s="10">
        <f>IF(B70="","",IFERROR(VLOOKUP(B70,Catalogo!$A:$F,4,FALSE),""))</f>
        <v/>
      </c>
      <c r="E70" s="3" t="n"/>
      <c r="F70" s="11">
        <f>IF(B70="","",IFERROR(VLOOKUP(B70,Catalogo!$A:$F,6,FALSE),0))</f>
        <v/>
      </c>
      <c r="G70" s="11">
        <f>IF(B70="","",E70*F70)</f>
        <v/>
      </c>
      <c r="H70" s="3" t="n"/>
    </row>
    <row r="71">
      <c r="A71" s="3" t="n"/>
      <c r="B71" s="3" t="n"/>
      <c r="C71" s="10">
        <f>IF(B71="","",IFERROR(VLOOKUP(B71,Catalogo!$A:$F,2,FALSE),"CODIGO NO ENCONTRADO"))</f>
        <v/>
      </c>
      <c r="D71" s="10">
        <f>IF(B71="","",IFERROR(VLOOKUP(B71,Catalogo!$A:$F,4,FALSE),""))</f>
        <v/>
      </c>
      <c r="E71" s="3" t="n"/>
      <c r="F71" s="11">
        <f>IF(B71="","",IFERROR(VLOOKUP(B71,Catalogo!$A:$F,6,FALSE),0))</f>
        <v/>
      </c>
      <c r="G71" s="11">
        <f>IF(B71="","",E71*F71)</f>
        <v/>
      </c>
      <c r="H71" s="3" t="n"/>
    </row>
    <row r="72">
      <c r="A72" s="3" t="n"/>
      <c r="B72" s="3" t="n"/>
      <c r="C72" s="10">
        <f>IF(B72="","",IFERROR(VLOOKUP(B72,Catalogo!$A:$F,2,FALSE),"CODIGO NO ENCONTRADO"))</f>
        <v/>
      </c>
      <c r="D72" s="10">
        <f>IF(B72="","",IFERROR(VLOOKUP(B72,Catalogo!$A:$F,4,FALSE),""))</f>
        <v/>
      </c>
      <c r="E72" s="3" t="n"/>
      <c r="F72" s="11">
        <f>IF(B72="","",IFERROR(VLOOKUP(B72,Catalogo!$A:$F,6,FALSE),0))</f>
        <v/>
      </c>
      <c r="G72" s="11">
        <f>IF(B72="","",E72*F72)</f>
        <v/>
      </c>
      <c r="H72" s="3" t="n"/>
    </row>
    <row r="73">
      <c r="A73" s="3" t="n"/>
      <c r="B73" s="3" t="n"/>
      <c r="C73" s="10">
        <f>IF(B73="","",IFERROR(VLOOKUP(B73,Catalogo!$A:$F,2,FALSE),"CODIGO NO ENCONTRADO"))</f>
        <v/>
      </c>
      <c r="D73" s="10">
        <f>IF(B73="","",IFERROR(VLOOKUP(B73,Catalogo!$A:$F,4,FALSE),""))</f>
        <v/>
      </c>
      <c r="E73" s="3" t="n"/>
      <c r="F73" s="11">
        <f>IF(B73="","",IFERROR(VLOOKUP(B73,Catalogo!$A:$F,6,FALSE),0))</f>
        <v/>
      </c>
      <c r="G73" s="11">
        <f>IF(B73="","",E73*F73)</f>
        <v/>
      </c>
      <c r="H73" s="3" t="n"/>
    </row>
    <row r="74">
      <c r="A74" s="3" t="n"/>
      <c r="B74" s="3" t="n"/>
      <c r="C74" s="10">
        <f>IF(B74="","",IFERROR(VLOOKUP(B74,Catalogo!$A:$F,2,FALSE),"CODIGO NO ENCONTRADO"))</f>
        <v/>
      </c>
      <c r="D74" s="10">
        <f>IF(B74="","",IFERROR(VLOOKUP(B74,Catalogo!$A:$F,4,FALSE),""))</f>
        <v/>
      </c>
      <c r="E74" s="3" t="n"/>
      <c r="F74" s="11">
        <f>IF(B74="","",IFERROR(VLOOKUP(B74,Catalogo!$A:$F,6,FALSE),0))</f>
        <v/>
      </c>
      <c r="G74" s="11">
        <f>IF(B74="","",E74*F74)</f>
        <v/>
      </c>
      <c r="H74" s="3" t="n"/>
    </row>
    <row r="75">
      <c r="A75" s="3" t="n"/>
      <c r="B75" s="3" t="n"/>
      <c r="C75" s="10">
        <f>IF(B75="","",IFERROR(VLOOKUP(B75,Catalogo!$A:$F,2,FALSE),"CODIGO NO ENCONTRADO"))</f>
        <v/>
      </c>
      <c r="D75" s="10">
        <f>IF(B75="","",IFERROR(VLOOKUP(B75,Catalogo!$A:$F,4,FALSE),""))</f>
        <v/>
      </c>
      <c r="E75" s="3" t="n"/>
      <c r="F75" s="11">
        <f>IF(B75="","",IFERROR(VLOOKUP(B75,Catalogo!$A:$F,6,FALSE),0))</f>
        <v/>
      </c>
      <c r="G75" s="11">
        <f>IF(B75="","",E75*F75)</f>
        <v/>
      </c>
      <c r="H75" s="3" t="n"/>
    </row>
    <row r="76">
      <c r="A76" s="3" t="n"/>
      <c r="B76" s="3" t="n"/>
      <c r="C76" s="10">
        <f>IF(B76="","",IFERROR(VLOOKUP(B76,Catalogo!$A:$F,2,FALSE),"CODIGO NO ENCONTRADO"))</f>
        <v/>
      </c>
      <c r="D76" s="10">
        <f>IF(B76="","",IFERROR(VLOOKUP(B76,Catalogo!$A:$F,4,FALSE),""))</f>
        <v/>
      </c>
      <c r="E76" s="3" t="n"/>
      <c r="F76" s="11">
        <f>IF(B76="","",IFERROR(VLOOKUP(B76,Catalogo!$A:$F,6,FALSE),0))</f>
        <v/>
      </c>
      <c r="G76" s="11">
        <f>IF(B76="","",E76*F76)</f>
        <v/>
      </c>
      <c r="H76" s="3" t="n"/>
    </row>
    <row r="77">
      <c r="A77" s="3" t="n"/>
      <c r="B77" s="3" t="n"/>
      <c r="C77" s="10">
        <f>IF(B77="","",IFERROR(VLOOKUP(B77,Catalogo!$A:$F,2,FALSE),"CODIGO NO ENCONTRADO"))</f>
        <v/>
      </c>
      <c r="D77" s="10">
        <f>IF(B77="","",IFERROR(VLOOKUP(B77,Catalogo!$A:$F,4,FALSE),""))</f>
        <v/>
      </c>
      <c r="E77" s="3" t="n"/>
      <c r="F77" s="11">
        <f>IF(B77="","",IFERROR(VLOOKUP(B77,Catalogo!$A:$F,6,FALSE),0))</f>
        <v/>
      </c>
      <c r="G77" s="11">
        <f>IF(B77="","",E77*F77)</f>
        <v/>
      </c>
      <c r="H77" s="3" t="n"/>
    </row>
    <row r="78">
      <c r="A78" s="3" t="n"/>
      <c r="B78" s="3" t="n"/>
      <c r="C78" s="10">
        <f>IF(B78="","",IFERROR(VLOOKUP(B78,Catalogo!$A:$F,2,FALSE),"CODIGO NO ENCONTRADO"))</f>
        <v/>
      </c>
      <c r="D78" s="10">
        <f>IF(B78="","",IFERROR(VLOOKUP(B78,Catalogo!$A:$F,4,FALSE),""))</f>
        <v/>
      </c>
      <c r="E78" s="3" t="n"/>
      <c r="F78" s="11">
        <f>IF(B78="","",IFERROR(VLOOKUP(B78,Catalogo!$A:$F,6,FALSE),0))</f>
        <v/>
      </c>
      <c r="G78" s="11">
        <f>IF(B78="","",E78*F78)</f>
        <v/>
      </c>
      <c r="H78" s="3" t="n"/>
    </row>
    <row r="79">
      <c r="A79" s="3" t="n"/>
      <c r="B79" s="3" t="n"/>
      <c r="C79" s="10">
        <f>IF(B79="","",IFERROR(VLOOKUP(B79,Catalogo!$A:$F,2,FALSE),"CODIGO NO ENCONTRADO"))</f>
        <v/>
      </c>
      <c r="D79" s="10">
        <f>IF(B79="","",IFERROR(VLOOKUP(B79,Catalogo!$A:$F,4,FALSE),""))</f>
        <v/>
      </c>
      <c r="E79" s="3" t="n"/>
      <c r="F79" s="11">
        <f>IF(B79="","",IFERROR(VLOOKUP(B79,Catalogo!$A:$F,6,FALSE),0))</f>
        <v/>
      </c>
      <c r="G79" s="11">
        <f>IF(B79="","",E79*F79)</f>
        <v/>
      </c>
      <c r="H79" s="3" t="n"/>
    </row>
    <row r="80">
      <c r="A80" s="3" t="n"/>
      <c r="B80" s="3" t="n"/>
      <c r="C80" s="10">
        <f>IF(B80="","",IFERROR(VLOOKUP(B80,Catalogo!$A:$F,2,FALSE),"CODIGO NO ENCONTRADO"))</f>
        <v/>
      </c>
      <c r="D80" s="10">
        <f>IF(B80="","",IFERROR(VLOOKUP(B80,Catalogo!$A:$F,4,FALSE),""))</f>
        <v/>
      </c>
      <c r="E80" s="3" t="n"/>
      <c r="F80" s="11">
        <f>IF(B80="","",IFERROR(VLOOKUP(B80,Catalogo!$A:$F,6,FALSE),0))</f>
        <v/>
      </c>
      <c r="G80" s="11">
        <f>IF(B80="","",E80*F80)</f>
        <v/>
      </c>
      <c r="H80" s="3" t="n"/>
    </row>
    <row r="81">
      <c r="A81" s="3" t="n"/>
      <c r="B81" s="3" t="n"/>
      <c r="C81" s="10">
        <f>IF(B81="","",IFERROR(VLOOKUP(B81,Catalogo!$A:$F,2,FALSE),"CODIGO NO ENCONTRADO"))</f>
        <v/>
      </c>
      <c r="D81" s="10">
        <f>IF(B81="","",IFERROR(VLOOKUP(B81,Catalogo!$A:$F,4,FALSE),""))</f>
        <v/>
      </c>
      <c r="E81" s="3" t="n"/>
      <c r="F81" s="11">
        <f>IF(B81="","",IFERROR(VLOOKUP(B81,Catalogo!$A:$F,6,FALSE),0))</f>
        <v/>
      </c>
      <c r="G81" s="11">
        <f>IF(B81="","",E81*F81)</f>
        <v/>
      </c>
      <c r="H81" s="3" t="n"/>
    </row>
    <row r="82">
      <c r="A82" s="3" t="n"/>
      <c r="B82" s="3" t="n"/>
      <c r="C82" s="10">
        <f>IF(B82="","",IFERROR(VLOOKUP(B82,Catalogo!$A:$F,2,FALSE),"CODIGO NO ENCONTRADO"))</f>
        <v/>
      </c>
      <c r="D82" s="10">
        <f>IF(B82="","",IFERROR(VLOOKUP(B82,Catalogo!$A:$F,4,FALSE),""))</f>
        <v/>
      </c>
      <c r="E82" s="3" t="n"/>
      <c r="F82" s="11">
        <f>IF(B82="","",IFERROR(VLOOKUP(B82,Catalogo!$A:$F,6,FALSE),0))</f>
        <v/>
      </c>
      <c r="G82" s="11">
        <f>IF(B82="","",E82*F82)</f>
        <v/>
      </c>
      <c r="H82" s="3" t="n"/>
    </row>
    <row r="83">
      <c r="A83" s="3" t="n"/>
      <c r="B83" s="3" t="n"/>
      <c r="C83" s="10">
        <f>IF(B83="","",IFERROR(VLOOKUP(B83,Catalogo!$A:$F,2,FALSE),"CODIGO NO ENCONTRADO"))</f>
        <v/>
      </c>
      <c r="D83" s="10">
        <f>IF(B83="","",IFERROR(VLOOKUP(B83,Catalogo!$A:$F,4,FALSE),""))</f>
        <v/>
      </c>
      <c r="E83" s="3" t="n"/>
      <c r="F83" s="11">
        <f>IF(B83="","",IFERROR(VLOOKUP(B83,Catalogo!$A:$F,6,FALSE),0))</f>
        <v/>
      </c>
      <c r="G83" s="11">
        <f>IF(B83="","",E83*F83)</f>
        <v/>
      </c>
      <c r="H83" s="3" t="n"/>
    </row>
    <row r="84">
      <c r="A84" s="3" t="n"/>
      <c r="B84" s="3" t="n"/>
      <c r="C84" s="10">
        <f>IF(B84="","",IFERROR(VLOOKUP(B84,Catalogo!$A:$F,2,FALSE),"CODIGO NO ENCONTRADO"))</f>
        <v/>
      </c>
      <c r="D84" s="10">
        <f>IF(B84="","",IFERROR(VLOOKUP(B84,Catalogo!$A:$F,4,FALSE),""))</f>
        <v/>
      </c>
      <c r="E84" s="3" t="n"/>
      <c r="F84" s="11">
        <f>IF(B84="","",IFERROR(VLOOKUP(B84,Catalogo!$A:$F,6,FALSE),0))</f>
        <v/>
      </c>
      <c r="G84" s="11">
        <f>IF(B84="","",E84*F84)</f>
        <v/>
      </c>
      <c r="H84" s="3" t="n"/>
    </row>
    <row r="85">
      <c r="A85" s="3" t="n"/>
      <c r="B85" s="3" t="n"/>
      <c r="C85" s="10">
        <f>IF(B85="","",IFERROR(VLOOKUP(B85,Catalogo!$A:$F,2,FALSE),"CODIGO NO ENCONTRADO"))</f>
        <v/>
      </c>
      <c r="D85" s="10">
        <f>IF(B85="","",IFERROR(VLOOKUP(B85,Catalogo!$A:$F,4,FALSE),""))</f>
        <v/>
      </c>
      <c r="E85" s="3" t="n"/>
      <c r="F85" s="11">
        <f>IF(B85="","",IFERROR(VLOOKUP(B85,Catalogo!$A:$F,6,FALSE),0))</f>
        <v/>
      </c>
      <c r="G85" s="11">
        <f>IF(B85="","",E85*F85)</f>
        <v/>
      </c>
      <c r="H85" s="3" t="n"/>
    </row>
    <row r="86">
      <c r="A86" s="3" t="n"/>
      <c r="B86" s="3" t="n"/>
      <c r="C86" s="10">
        <f>IF(B86="","",IFERROR(VLOOKUP(B86,Catalogo!$A:$F,2,FALSE),"CODIGO NO ENCONTRADO"))</f>
        <v/>
      </c>
      <c r="D86" s="10">
        <f>IF(B86="","",IFERROR(VLOOKUP(B86,Catalogo!$A:$F,4,FALSE),""))</f>
        <v/>
      </c>
      <c r="E86" s="3" t="n"/>
      <c r="F86" s="11">
        <f>IF(B86="","",IFERROR(VLOOKUP(B86,Catalogo!$A:$F,6,FALSE),0))</f>
        <v/>
      </c>
      <c r="G86" s="11">
        <f>IF(B86="","",E86*F86)</f>
        <v/>
      </c>
      <c r="H86" s="3" t="n"/>
    </row>
    <row r="87">
      <c r="A87" s="3" t="n"/>
      <c r="B87" s="3" t="n"/>
      <c r="C87" s="10">
        <f>IF(B87="","",IFERROR(VLOOKUP(B87,Catalogo!$A:$F,2,FALSE),"CODIGO NO ENCONTRADO"))</f>
        <v/>
      </c>
      <c r="D87" s="10">
        <f>IF(B87="","",IFERROR(VLOOKUP(B87,Catalogo!$A:$F,4,FALSE),""))</f>
        <v/>
      </c>
      <c r="E87" s="3" t="n"/>
      <c r="F87" s="11">
        <f>IF(B87="","",IFERROR(VLOOKUP(B87,Catalogo!$A:$F,6,FALSE),0))</f>
        <v/>
      </c>
      <c r="G87" s="11">
        <f>IF(B87="","",E87*F87)</f>
        <v/>
      </c>
      <c r="H87" s="3" t="n"/>
    </row>
    <row r="88">
      <c r="A88" s="3" t="n"/>
      <c r="B88" s="3" t="n"/>
      <c r="C88" s="10">
        <f>IF(B88="","",IFERROR(VLOOKUP(B88,Catalogo!$A:$F,2,FALSE),"CODIGO NO ENCONTRADO"))</f>
        <v/>
      </c>
      <c r="D88" s="10">
        <f>IF(B88="","",IFERROR(VLOOKUP(B88,Catalogo!$A:$F,4,FALSE),""))</f>
        <v/>
      </c>
      <c r="E88" s="3" t="n"/>
      <c r="F88" s="11">
        <f>IF(B88="","",IFERROR(VLOOKUP(B88,Catalogo!$A:$F,6,FALSE),0))</f>
        <v/>
      </c>
      <c r="G88" s="11">
        <f>IF(B88="","",E88*F88)</f>
        <v/>
      </c>
      <c r="H88" s="3" t="n"/>
    </row>
    <row r="89">
      <c r="A89" s="3" t="n"/>
      <c r="B89" s="3" t="n"/>
      <c r="C89" s="10">
        <f>IF(B89="","",IFERROR(VLOOKUP(B89,Catalogo!$A:$F,2,FALSE),"CODIGO NO ENCONTRADO"))</f>
        <v/>
      </c>
      <c r="D89" s="10">
        <f>IF(B89="","",IFERROR(VLOOKUP(B89,Catalogo!$A:$F,4,FALSE),""))</f>
        <v/>
      </c>
      <c r="E89" s="3" t="n"/>
      <c r="F89" s="11">
        <f>IF(B89="","",IFERROR(VLOOKUP(B89,Catalogo!$A:$F,6,FALSE),0))</f>
        <v/>
      </c>
      <c r="G89" s="11">
        <f>IF(B89="","",E89*F89)</f>
        <v/>
      </c>
      <c r="H89" s="3" t="n"/>
    </row>
    <row r="90">
      <c r="A90" s="3" t="n"/>
      <c r="B90" s="3" t="n"/>
      <c r="C90" s="10">
        <f>IF(B90="","",IFERROR(VLOOKUP(B90,Catalogo!$A:$F,2,FALSE),"CODIGO NO ENCONTRADO"))</f>
        <v/>
      </c>
      <c r="D90" s="10">
        <f>IF(B90="","",IFERROR(VLOOKUP(B90,Catalogo!$A:$F,4,FALSE),""))</f>
        <v/>
      </c>
      <c r="E90" s="3" t="n"/>
      <c r="F90" s="11">
        <f>IF(B90="","",IFERROR(VLOOKUP(B90,Catalogo!$A:$F,6,FALSE),0))</f>
        <v/>
      </c>
      <c r="G90" s="11">
        <f>IF(B90="","",E90*F90)</f>
        <v/>
      </c>
      <c r="H90" s="3" t="n"/>
    </row>
    <row r="91">
      <c r="A91" s="3" t="n"/>
      <c r="B91" s="3" t="n"/>
      <c r="C91" s="10">
        <f>IF(B91="","",IFERROR(VLOOKUP(B91,Catalogo!$A:$F,2,FALSE),"CODIGO NO ENCONTRADO"))</f>
        <v/>
      </c>
      <c r="D91" s="10">
        <f>IF(B91="","",IFERROR(VLOOKUP(B91,Catalogo!$A:$F,4,FALSE),""))</f>
        <v/>
      </c>
      <c r="E91" s="3" t="n"/>
      <c r="F91" s="11">
        <f>IF(B91="","",IFERROR(VLOOKUP(B91,Catalogo!$A:$F,6,FALSE),0))</f>
        <v/>
      </c>
      <c r="G91" s="11">
        <f>IF(B91="","",E91*F91)</f>
        <v/>
      </c>
      <c r="H91" s="3" t="n"/>
    </row>
    <row r="92">
      <c r="A92" s="3" t="n"/>
      <c r="B92" s="3" t="n"/>
      <c r="C92" s="10">
        <f>IF(B92="","",IFERROR(VLOOKUP(B92,Catalogo!$A:$F,2,FALSE),"CODIGO NO ENCONTRADO"))</f>
        <v/>
      </c>
      <c r="D92" s="10">
        <f>IF(B92="","",IFERROR(VLOOKUP(B92,Catalogo!$A:$F,4,FALSE),""))</f>
        <v/>
      </c>
      <c r="E92" s="3" t="n"/>
      <c r="F92" s="11">
        <f>IF(B92="","",IFERROR(VLOOKUP(B92,Catalogo!$A:$F,6,FALSE),0))</f>
        <v/>
      </c>
      <c r="G92" s="11">
        <f>IF(B92="","",E92*F92)</f>
        <v/>
      </c>
      <c r="H92" s="3" t="n"/>
    </row>
    <row r="93">
      <c r="A93" s="3" t="n"/>
      <c r="B93" s="3" t="n"/>
      <c r="C93" s="10">
        <f>IF(B93="","",IFERROR(VLOOKUP(B93,Catalogo!$A:$F,2,FALSE),"CODIGO NO ENCONTRADO"))</f>
        <v/>
      </c>
      <c r="D93" s="10">
        <f>IF(B93="","",IFERROR(VLOOKUP(B93,Catalogo!$A:$F,4,FALSE),""))</f>
        <v/>
      </c>
      <c r="E93" s="3" t="n"/>
      <c r="F93" s="11">
        <f>IF(B93="","",IFERROR(VLOOKUP(B93,Catalogo!$A:$F,6,FALSE),0))</f>
        <v/>
      </c>
      <c r="G93" s="11">
        <f>IF(B93="","",E93*F93)</f>
        <v/>
      </c>
      <c r="H93" s="3" t="n"/>
    </row>
    <row r="94">
      <c r="A94" s="3" t="n"/>
      <c r="B94" s="3" t="n"/>
      <c r="C94" s="10">
        <f>IF(B94="","",IFERROR(VLOOKUP(B94,Catalogo!$A:$F,2,FALSE),"CODIGO NO ENCONTRADO"))</f>
        <v/>
      </c>
      <c r="D94" s="10">
        <f>IF(B94="","",IFERROR(VLOOKUP(B94,Catalogo!$A:$F,4,FALSE),""))</f>
        <v/>
      </c>
      <c r="E94" s="3" t="n"/>
      <c r="F94" s="11">
        <f>IF(B94="","",IFERROR(VLOOKUP(B94,Catalogo!$A:$F,6,FALSE),0))</f>
        <v/>
      </c>
      <c r="G94" s="11">
        <f>IF(B94="","",E94*F94)</f>
        <v/>
      </c>
      <c r="H94" s="3" t="n"/>
    </row>
    <row r="95">
      <c r="A95" s="3" t="n"/>
      <c r="B95" s="3" t="n"/>
      <c r="C95" s="10">
        <f>IF(B95="","",IFERROR(VLOOKUP(B95,Catalogo!$A:$F,2,FALSE),"CODIGO NO ENCONTRADO"))</f>
        <v/>
      </c>
      <c r="D95" s="10">
        <f>IF(B95="","",IFERROR(VLOOKUP(B95,Catalogo!$A:$F,4,FALSE),""))</f>
        <v/>
      </c>
      <c r="E95" s="3" t="n"/>
      <c r="F95" s="11">
        <f>IF(B95="","",IFERROR(VLOOKUP(B95,Catalogo!$A:$F,6,FALSE),0))</f>
        <v/>
      </c>
      <c r="G95" s="11">
        <f>IF(B95="","",E95*F95)</f>
        <v/>
      </c>
      <c r="H95" s="3" t="n"/>
    </row>
    <row r="96">
      <c r="A96" s="3" t="n"/>
      <c r="B96" s="3" t="n"/>
      <c r="C96" s="10">
        <f>IF(B96="","",IFERROR(VLOOKUP(B96,Catalogo!$A:$F,2,FALSE),"CODIGO NO ENCONTRADO"))</f>
        <v/>
      </c>
      <c r="D96" s="10">
        <f>IF(B96="","",IFERROR(VLOOKUP(B96,Catalogo!$A:$F,4,FALSE),""))</f>
        <v/>
      </c>
      <c r="E96" s="3" t="n"/>
      <c r="F96" s="11">
        <f>IF(B96="","",IFERROR(VLOOKUP(B96,Catalogo!$A:$F,6,FALSE),0))</f>
        <v/>
      </c>
      <c r="G96" s="11">
        <f>IF(B96="","",E96*F96)</f>
        <v/>
      </c>
      <c r="H96" s="3" t="n"/>
    </row>
    <row r="97">
      <c r="A97" s="3" t="n"/>
      <c r="B97" s="3" t="n"/>
      <c r="C97" s="10">
        <f>IF(B97="","",IFERROR(VLOOKUP(B97,Catalogo!$A:$F,2,FALSE),"CODIGO NO ENCONTRADO"))</f>
        <v/>
      </c>
      <c r="D97" s="10">
        <f>IF(B97="","",IFERROR(VLOOKUP(B97,Catalogo!$A:$F,4,FALSE),""))</f>
        <v/>
      </c>
      <c r="E97" s="3" t="n"/>
      <c r="F97" s="11">
        <f>IF(B97="","",IFERROR(VLOOKUP(B97,Catalogo!$A:$F,6,FALSE),0))</f>
        <v/>
      </c>
      <c r="G97" s="11">
        <f>IF(B97="","",E97*F97)</f>
        <v/>
      </c>
      <c r="H97" s="3" t="n"/>
    </row>
    <row r="98">
      <c r="A98" s="3" t="n"/>
      <c r="B98" s="3" t="n"/>
      <c r="C98" s="10">
        <f>IF(B98="","",IFERROR(VLOOKUP(B98,Catalogo!$A:$F,2,FALSE),"CODIGO NO ENCONTRADO"))</f>
        <v/>
      </c>
      <c r="D98" s="10">
        <f>IF(B98="","",IFERROR(VLOOKUP(B98,Catalogo!$A:$F,4,FALSE),""))</f>
        <v/>
      </c>
      <c r="E98" s="3" t="n"/>
      <c r="F98" s="11">
        <f>IF(B98="","",IFERROR(VLOOKUP(B98,Catalogo!$A:$F,6,FALSE),0))</f>
        <v/>
      </c>
      <c r="G98" s="11">
        <f>IF(B98="","",E98*F98)</f>
        <v/>
      </c>
      <c r="H98" s="3" t="n"/>
    </row>
    <row r="99">
      <c r="A99" s="3" t="n"/>
      <c r="B99" s="3" t="n"/>
      <c r="C99" s="10">
        <f>IF(B99="","",IFERROR(VLOOKUP(B99,Catalogo!$A:$F,2,FALSE),"CODIGO NO ENCONTRADO"))</f>
        <v/>
      </c>
      <c r="D99" s="10">
        <f>IF(B99="","",IFERROR(VLOOKUP(B99,Catalogo!$A:$F,4,FALSE),""))</f>
        <v/>
      </c>
      <c r="E99" s="3" t="n"/>
      <c r="F99" s="11">
        <f>IF(B99="","",IFERROR(VLOOKUP(B99,Catalogo!$A:$F,6,FALSE),0))</f>
        <v/>
      </c>
      <c r="G99" s="11">
        <f>IF(B99="","",E99*F99)</f>
        <v/>
      </c>
      <c r="H99" s="3" t="n"/>
    </row>
    <row r="100">
      <c r="A100" s="3" t="n"/>
      <c r="B100" s="3" t="n"/>
      <c r="C100" s="10">
        <f>IF(B100="","",IFERROR(VLOOKUP(B100,Catalogo!$A:$F,2,FALSE),"CODIGO NO ENCONTRADO"))</f>
        <v/>
      </c>
      <c r="D100" s="10">
        <f>IF(B100="","",IFERROR(VLOOKUP(B100,Catalogo!$A:$F,4,FALSE),""))</f>
        <v/>
      </c>
      <c r="E100" s="3" t="n"/>
      <c r="F100" s="11">
        <f>IF(B100="","",IFERROR(VLOOKUP(B100,Catalogo!$A:$F,6,FALSE),0))</f>
        <v/>
      </c>
      <c r="G100" s="11">
        <f>IF(B100="","",E100*F100)</f>
        <v/>
      </c>
      <c r="H100" s="3" t="n"/>
    </row>
    <row r="101">
      <c r="A101" s="3" t="n"/>
      <c r="B101" s="3" t="n"/>
      <c r="C101" s="10">
        <f>IF(B101="","",IFERROR(VLOOKUP(B101,Catalogo!$A:$F,2,FALSE),"CODIGO NO ENCONTRADO"))</f>
        <v/>
      </c>
      <c r="D101" s="10">
        <f>IF(B101="","",IFERROR(VLOOKUP(B101,Catalogo!$A:$F,4,FALSE),""))</f>
        <v/>
      </c>
      <c r="E101" s="3" t="n"/>
      <c r="F101" s="11">
        <f>IF(B101="","",IFERROR(VLOOKUP(B101,Catalogo!$A:$F,6,FALSE),0))</f>
        <v/>
      </c>
      <c r="G101" s="11">
        <f>IF(B101="","",E101*F101)</f>
        <v/>
      </c>
      <c r="H101" s="3" t="n"/>
    </row>
    <row r="102">
      <c r="A102" s="3" t="n"/>
      <c r="B102" s="3" t="n"/>
      <c r="C102" s="10">
        <f>IF(B102="","",IFERROR(VLOOKUP(B102,Catalogo!$A:$F,2,FALSE),"CODIGO NO ENCONTRADO"))</f>
        <v/>
      </c>
      <c r="D102" s="10">
        <f>IF(B102="","",IFERROR(VLOOKUP(B102,Catalogo!$A:$F,4,FALSE),""))</f>
        <v/>
      </c>
      <c r="E102" s="3" t="n"/>
      <c r="F102" s="11">
        <f>IF(B102="","",IFERROR(VLOOKUP(B102,Catalogo!$A:$F,6,FALSE),0))</f>
        <v/>
      </c>
      <c r="G102" s="11">
        <f>IF(B102="","",E102*F102)</f>
        <v/>
      </c>
      <c r="H102" s="3" t="n"/>
    </row>
    <row r="103">
      <c r="A103" s="3" t="n"/>
      <c r="B103" s="3" t="n"/>
      <c r="C103" s="10">
        <f>IF(B103="","",IFERROR(VLOOKUP(B103,Catalogo!$A:$F,2,FALSE),"CODIGO NO ENCONTRADO"))</f>
        <v/>
      </c>
      <c r="D103" s="10">
        <f>IF(B103="","",IFERROR(VLOOKUP(B103,Catalogo!$A:$F,4,FALSE),""))</f>
        <v/>
      </c>
      <c r="E103" s="3" t="n"/>
      <c r="F103" s="11">
        <f>IF(B103="","",IFERROR(VLOOKUP(B103,Catalogo!$A:$F,6,FALSE),0))</f>
        <v/>
      </c>
      <c r="G103" s="11">
        <f>IF(B103="","",E103*F103)</f>
        <v/>
      </c>
      <c r="H103" s="3" t="n"/>
    </row>
    <row r="104">
      <c r="A104" s="3" t="n"/>
      <c r="B104" s="3" t="n"/>
      <c r="C104" s="10">
        <f>IF(B104="","",IFERROR(VLOOKUP(B104,Catalogo!$A:$F,2,FALSE),"CODIGO NO ENCONTRADO"))</f>
        <v/>
      </c>
      <c r="D104" s="10">
        <f>IF(B104="","",IFERROR(VLOOKUP(B104,Catalogo!$A:$F,4,FALSE),""))</f>
        <v/>
      </c>
      <c r="E104" s="3" t="n"/>
      <c r="F104" s="11">
        <f>IF(B104="","",IFERROR(VLOOKUP(B104,Catalogo!$A:$F,6,FALSE),0))</f>
        <v/>
      </c>
      <c r="G104" s="11">
        <f>IF(B104="","",E104*F104)</f>
        <v/>
      </c>
      <c r="H104" s="3" t="n"/>
    </row>
    <row r="105">
      <c r="A105" s="3" t="n"/>
      <c r="B105" s="3" t="n"/>
      <c r="C105" s="10">
        <f>IF(B105="","",IFERROR(VLOOKUP(B105,Catalogo!$A:$F,2,FALSE),"CODIGO NO ENCONTRADO"))</f>
        <v/>
      </c>
      <c r="D105" s="10">
        <f>IF(B105="","",IFERROR(VLOOKUP(B105,Catalogo!$A:$F,4,FALSE),""))</f>
        <v/>
      </c>
      <c r="E105" s="3" t="n"/>
      <c r="F105" s="11">
        <f>IF(B105="","",IFERROR(VLOOKUP(B105,Catalogo!$A:$F,6,FALSE),0))</f>
        <v/>
      </c>
      <c r="G105" s="11">
        <f>IF(B105="","",E105*F105)</f>
        <v/>
      </c>
      <c r="H105" s="3" t="n"/>
    </row>
    <row r="106">
      <c r="A106" s="3" t="n"/>
      <c r="B106" s="3" t="n"/>
      <c r="C106" s="10">
        <f>IF(B106="","",IFERROR(VLOOKUP(B106,Catalogo!$A:$F,2,FALSE),"CODIGO NO ENCONTRADO"))</f>
        <v/>
      </c>
      <c r="D106" s="10">
        <f>IF(B106="","",IFERROR(VLOOKUP(B106,Catalogo!$A:$F,4,FALSE),""))</f>
        <v/>
      </c>
      <c r="E106" s="3" t="n"/>
      <c r="F106" s="11">
        <f>IF(B106="","",IFERROR(VLOOKUP(B106,Catalogo!$A:$F,6,FALSE),0))</f>
        <v/>
      </c>
      <c r="G106" s="11">
        <f>IF(B106="","",E106*F106)</f>
        <v/>
      </c>
      <c r="H106" s="3" t="n"/>
    </row>
    <row r="107">
      <c r="A107" s="3" t="n"/>
      <c r="B107" s="3" t="n"/>
      <c r="C107" s="10">
        <f>IF(B107="","",IFERROR(VLOOKUP(B107,Catalogo!$A:$F,2,FALSE),"CODIGO NO ENCONTRADO"))</f>
        <v/>
      </c>
      <c r="D107" s="10">
        <f>IF(B107="","",IFERROR(VLOOKUP(B107,Catalogo!$A:$F,4,FALSE),""))</f>
        <v/>
      </c>
      <c r="E107" s="3" t="n"/>
      <c r="F107" s="11">
        <f>IF(B107="","",IFERROR(VLOOKUP(B107,Catalogo!$A:$F,6,FALSE),0))</f>
        <v/>
      </c>
      <c r="G107" s="11">
        <f>IF(B107="","",E107*F107)</f>
        <v/>
      </c>
      <c r="H107" s="3" t="n"/>
    </row>
    <row r="108">
      <c r="A108" s="3" t="n"/>
      <c r="B108" s="3" t="n"/>
      <c r="C108" s="10">
        <f>IF(B108="","",IFERROR(VLOOKUP(B108,Catalogo!$A:$F,2,FALSE),"CODIGO NO ENCONTRADO"))</f>
        <v/>
      </c>
      <c r="D108" s="10">
        <f>IF(B108="","",IFERROR(VLOOKUP(B108,Catalogo!$A:$F,4,FALSE),""))</f>
        <v/>
      </c>
      <c r="E108" s="3" t="n"/>
      <c r="F108" s="11">
        <f>IF(B108="","",IFERROR(VLOOKUP(B108,Catalogo!$A:$F,6,FALSE),0))</f>
        <v/>
      </c>
      <c r="G108" s="11">
        <f>IF(B108="","",E108*F108)</f>
        <v/>
      </c>
      <c r="H108" s="3" t="n"/>
    </row>
    <row r="109">
      <c r="A109" s="3" t="n"/>
      <c r="B109" s="3" t="n"/>
      <c r="C109" s="10">
        <f>IF(B109="","",IFERROR(VLOOKUP(B109,Catalogo!$A:$F,2,FALSE),"CODIGO NO ENCONTRADO"))</f>
        <v/>
      </c>
      <c r="D109" s="10">
        <f>IF(B109="","",IFERROR(VLOOKUP(B109,Catalogo!$A:$F,4,FALSE),""))</f>
        <v/>
      </c>
      <c r="E109" s="3" t="n"/>
      <c r="F109" s="11">
        <f>IF(B109="","",IFERROR(VLOOKUP(B109,Catalogo!$A:$F,6,FALSE),0))</f>
        <v/>
      </c>
      <c r="G109" s="11">
        <f>IF(B109="","",E109*F109)</f>
        <v/>
      </c>
      <c r="H109" s="3" t="n"/>
    </row>
    <row r="110">
      <c r="A110" s="3" t="n"/>
      <c r="B110" s="3" t="n"/>
      <c r="C110" s="10">
        <f>IF(B110="","",IFERROR(VLOOKUP(B110,Catalogo!$A:$F,2,FALSE),"CODIGO NO ENCONTRADO"))</f>
        <v/>
      </c>
      <c r="D110" s="10">
        <f>IF(B110="","",IFERROR(VLOOKUP(B110,Catalogo!$A:$F,4,FALSE),""))</f>
        <v/>
      </c>
      <c r="E110" s="3" t="n"/>
      <c r="F110" s="11">
        <f>IF(B110="","",IFERROR(VLOOKUP(B110,Catalogo!$A:$F,6,FALSE),0))</f>
        <v/>
      </c>
      <c r="G110" s="11">
        <f>IF(B110="","",E110*F110)</f>
        <v/>
      </c>
      <c r="H110" s="3" t="n"/>
    </row>
    <row r="111">
      <c r="A111" s="3" t="n"/>
      <c r="B111" s="3" t="n"/>
      <c r="C111" s="10">
        <f>IF(B111="","",IFERROR(VLOOKUP(B111,Catalogo!$A:$F,2,FALSE),"CODIGO NO ENCONTRADO"))</f>
        <v/>
      </c>
      <c r="D111" s="10">
        <f>IF(B111="","",IFERROR(VLOOKUP(B111,Catalogo!$A:$F,4,FALSE),""))</f>
        <v/>
      </c>
      <c r="E111" s="3" t="n"/>
      <c r="F111" s="11">
        <f>IF(B111="","",IFERROR(VLOOKUP(B111,Catalogo!$A:$F,6,FALSE),0))</f>
        <v/>
      </c>
      <c r="G111" s="11">
        <f>IF(B111="","",E111*F111)</f>
        <v/>
      </c>
      <c r="H111" s="3" t="n"/>
    </row>
    <row r="112">
      <c r="A112" s="3" t="n"/>
      <c r="B112" s="3" t="n"/>
      <c r="C112" s="10">
        <f>IF(B112="","",IFERROR(VLOOKUP(B112,Catalogo!$A:$F,2,FALSE),"CODIGO NO ENCONTRADO"))</f>
        <v/>
      </c>
      <c r="D112" s="10">
        <f>IF(B112="","",IFERROR(VLOOKUP(B112,Catalogo!$A:$F,4,FALSE),""))</f>
        <v/>
      </c>
      <c r="E112" s="3" t="n"/>
      <c r="F112" s="11">
        <f>IF(B112="","",IFERROR(VLOOKUP(B112,Catalogo!$A:$F,6,FALSE),0))</f>
        <v/>
      </c>
      <c r="G112" s="11">
        <f>IF(B112="","",E112*F112)</f>
        <v/>
      </c>
      <c r="H112" s="3" t="n"/>
    </row>
    <row r="113">
      <c r="A113" s="3" t="n"/>
      <c r="B113" s="3" t="n"/>
      <c r="C113" s="10">
        <f>IF(B113="","",IFERROR(VLOOKUP(B113,Catalogo!$A:$F,2,FALSE),"CODIGO NO ENCONTRADO"))</f>
        <v/>
      </c>
      <c r="D113" s="10">
        <f>IF(B113="","",IFERROR(VLOOKUP(B113,Catalogo!$A:$F,4,FALSE),""))</f>
        <v/>
      </c>
      <c r="E113" s="3" t="n"/>
      <c r="F113" s="11">
        <f>IF(B113="","",IFERROR(VLOOKUP(B113,Catalogo!$A:$F,6,FALSE),0))</f>
        <v/>
      </c>
      <c r="G113" s="11">
        <f>IF(B113="","",E113*F113)</f>
        <v/>
      </c>
      <c r="H113" s="3" t="n"/>
    </row>
    <row r="114">
      <c r="A114" s="3" t="n"/>
      <c r="B114" s="3" t="n"/>
      <c r="C114" s="10">
        <f>IF(B114="","",IFERROR(VLOOKUP(B114,Catalogo!$A:$F,2,FALSE),"CODIGO NO ENCONTRADO"))</f>
        <v/>
      </c>
      <c r="D114" s="10">
        <f>IF(B114="","",IFERROR(VLOOKUP(B114,Catalogo!$A:$F,4,FALSE),""))</f>
        <v/>
      </c>
      <c r="E114" s="3" t="n"/>
      <c r="F114" s="11">
        <f>IF(B114="","",IFERROR(VLOOKUP(B114,Catalogo!$A:$F,6,FALSE),0))</f>
        <v/>
      </c>
      <c r="G114" s="11">
        <f>IF(B114="","",E114*F114)</f>
        <v/>
      </c>
      <c r="H114" s="3" t="n"/>
    </row>
    <row r="115">
      <c r="A115" s="3" t="n"/>
      <c r="B115" s="3" t="n"/>
      <c r="C115" s="10">
        <f>IF(B115="","",IFERROR(VLOOKUP(B115,Catalogo!$A:$F,2,FALSE),"CODIGO NO ENCONTRADO"))</f>
        <v/>
      </c>
      <c r="D115" s="10">
        <f>IF(B115="","",IFERROR(VLOOKUP(B115,Catalogo!$A:$F,4,FALSE),""))</f>
        <v/>
      </c>
      <c r="E115" s="3" t="n"/>
      <c r="F115" s="11">
        <f>IF(B115="","",IFERROR(VLOOKUP(B115,Catalogo!$A:$F,6,FALSE),0))</f>
        <v/>
      </c>
      <c r="G115" s="11">
        <f>IF(B115="","",E115*F115)</f>
        <v/>
      </c>
      <c r="H115" s="3" t="n"/>
    </row>
    <row r="116">
      <c r="A116" s="3" t="n"/>
      <c r="B116" s="3" t="n"/>
      <c r="C116" s="10">
        <f>IF(B116="","",IFERROR(VLOOKUP(B116,Catalogo!$A:$F,2,FALSE),"CODIGO NO ENCONTRADO"))</f>
        <v/>
      </c>
      <c r="D116" s="10">
        <f>IF(B116="","",IFERROR(VLOOKUP(B116,Catalogo!$A:$F,4,FALSE),""))</f>
        <v/>
      </c>
      <c r="E116" s="3" t="n"/>
      <c r="F116" s="11">
        <f>IF(B116="","",IFERROR(VLOOKUP(B116,Catalogo!$A:$F,6,FALSE),0))</f>
        <v/>
      </c>
      <c r="G116" s="11">
        <f>IF(B116="","",E116*F116)</f>
        <v/>
      </c>
      <c r="H116" s="3" t="n"/>
    </row>
    <row r="117">
      <c r="A117" s="3" t="n"/>
      <c r="B117" s="3" t="n"/>
      <c r="C117" s="10">
        <f>IF(B117="","",IFERROR(VLOOKUP(B117,Catalogo!$A:$F,2,FALSE),"CODIGO NO ENCONTRADO"))</f>
        <v/>
      </c>
      <c r="D117" s="10">
        <f>IF(B117="","",IFERROR(VLOOKUP(B117,Catalogo!$A:$F,4,FALSE),""))</f>
        <v/>
      </c>
      <c r="E117" s="3" t="n"/>
      <c r="F117" s="11">
        <f>IF(B117="","",IFERROR(VLOOKUP(B117,Catalogo!$A:$F,6,FALSE),0))</f>
        <v/>
      </c>
      <c r="G117" s="11">
        <f>IF(B117="","",E117*F117)</f>
        <v/>
      </c>
      <c r="H117" s="3" t="n"/>
    </row>
    <row r="118">
      <c r="A118" s="3" t="n"/>
      <c r="B118" s="3" t="n"/>
      <c r="C118" s="10">
        <f>IF(B118="","",IFERROR(VLOOKUP(B118,Catalogo!$A:$F,2,FALSE),"CODIGO NO ENCONTRADO"))</f>
        <v/>
      </c>
      <c r="D118" s="10">
        <f>IF(B118="","",IFERROR(VLOOKUP(B118,Catalogo!$A:$F,4,FALSE),""))</f>
        <v/>
      </c>
      <c r="E118" s="3" t="n"/>
      <c r="F118" s="11">
        <f>IF(B118="","",IFERROR(VLOOKUP(B118,Catalogo!$A:$F,6,FALSE),0))</f>
        <v/>
      </c>
      <c r="G118" s="11">
        <f>IF(B118="","",E118*F118)</f>
        <v/>
      </c>
      <c r="H118" s="3" t="n"/>
    </row>
    <row r="119">
      <c r="A119" s="3" t="n"/>
      <c r="B119" s="3" t="n"/>
      <c r="C119" s="10">
        <f>IF(B119="","",IFERROR(VLOOKUP(B119,Catalogo!$A:$F,2,FALSE),"CODIGO NO ENCONTRADO"))</f>
        <v/>
      </c>
      <c r="D119" s="10">
        <f>IF(B119="","",IFERROR(VLOOKUP(B119,Catalogo!$A:$F,4,FALSE),""))</f>
        <v/>
      </c>
      <c r="E119" s="3" t="n"/>
      <c r="F119" s="11">
        <f>IF(B119="","",IFERROR(VLOOKUP(B119,Catalogo!$A:$F,6,FALSE),0))</f>
        <v/>
      </c>
      <c r="G119" s="11">
        <f>IF(B119="","",E119*F119)</f>
        <v/>
      </c>
      <c r="H119" s="3" t="n"/>
    </row>
    <row r="120">
      <c r="A120" s="3" t="n"/>
      <c r="B120" s="3" t="n"/>
      <c r="C120" s="10">
        <f>IF(B120="","",IFERROR(VLOOKUP(B120,Catalogo!$A:$F,2,FALSE),"CODIGO NO ENCONTRADO"))</f>
        <v/>
      </c>
      <c r="D120" s="10">
        <f>IF(B120="","",IFERROR(VLOOKUP(B120,Catalogo!$A:$F,4,FALSE),""))</f>
        <v/>
      </c>
      <c r="E120" s="3" t="n"/>
      <c r="F120" s="11">
        <f>IF(B120="","",IFERROR(VLOOKUP(B120,Catalogo!$A:$F,6,FALSE),0))</f>
        <v/>
      </c>
      <c r="G120" s="11">
        <f>IF(B120="","",E120*F120)</f>
        <v/>
      </c>
      <c r="H120" s="3" t="n"/>
    </row>
    <row r="121">
      <c r="A121" s="3" t="n"/>
      <c r="B121" s="3" t="n"/>
      <c r="C121" s="10">
        <f>IF(B121="","",IFERROR(VLOOKUP(B121,Catalogo!$A:$F,2,FALSE),"CODIGO NO ENCONTRADO"))</f>
        <v/>
      </c>
      <c r="D121" s="10">
        <f>IF(B121="","",IFERROR(VLOOKUP(B121,Catalogo!$A:$F,4,FALSE),""))</f>
        <v/>
      </c>
      <c r="E121" s="3" t="n"/>
      <c r="F121" s="11">
        <f>IF(B121="","",IFERROR(VLOOKUP(B121,Catalogo!$A:$F,6,FALSE),0))</f>
        <v/>
      </c>
      <c r="G121" s="11">
        <f>IF(B121="","",E121*F121)</f>
        <v/>
      </c>
      <c r="H121" s="3" t="n"/>
    </row>
    <row r="122">
      <c r="A122" s="3" t="n"/>
      <c r="B122" s="3" t="n"/>
      <c r="C122" s="10">
        <f>IF(B122="","",IFERROR(VLOOKUP(B122,Catalogo!$A:$F,2,FALSE),"CODIGO NO ENCONTRADO"))</f>
        <v/>
      </c>
      <c r="D122" s="10">
        <f>IF(B122="","",IFERROR(VLOOKUP(B122,Catalogo!$A:$F,4,FALSE),""))</f>
        <v/>
      </c>
      <c r="E122" s="3" t="n"/>
      <c r="F122" s="11">
        <f>IF(B122="","",IFERROR(VLOOKUP(B122,Catalogo!$A:$F,6,FALSE),0))</f>
        <v/>
      </c>
      <c r="G122" s="11">
        <f>IF(B122="","",E122*F122)</f>
        <v/>
      </c>
      <c r="H122" s="3" t="n"/>
    </row>
    <row r="123">
      <c r="A123" s="3" t="n"/>
      <c r="B123" s="3" t="n"/>
      <c r="C123" s="10">
        <f>IF(B123="","",IFERROR(VLOOKUP(B123,Catalogo!$A:$F,2,FALSE),"CODIGO NO ENCONTRADO"))</f>
        <v/>
      </c>
      <c r="D123" s="10">
        <f>IF(B123="","",IFERROR(VLOOKUP(B123,Catalogo!$A:$F,4,FALSE),""))</f>
        <v/>
      </c>
      <c r="E123" s="3" t="n"/>
      <c r="F123" s="11">
        <f>IF(B123="","",IFERROR(VLOOKUP(B123,Catalogo!$A:$F,6,FALSE),0))</f>
        <v/>
      </c>
      <c r="G123" s="11">
        <f>IF(B123="","",E123*F123)</f>
        <v/>
      </c>
      <c r="H123" s="3" t="n"/>
    </row>
    <row r="124">
      <c r="A124" s="3" t="n"/>
      <c r="B124" s="3" t="n"/>
      <c r="C124" s="10">
        <f>IF(B124="","",IFERROR(VLOOKUP(B124,Catalogo!$A:$F,2,FALSE),"CODIGO NO ENCONTRADO"))</f>
        <v/>
      </c>
      <c r="D124" s="10">
        <f>IF(B124="","",IFERROR(VLOOKUP(B124,Catalogo!$A:$F,4,FALSE),""))</f>
        <v/>
      </c>
      <c r="E124" s="3" t="n"/>
      <c r="F124" s="11">
        <f>IF(B124="","",IFERROR(VLOOKUP(B124,Catalogo!$A:$F,6,FALSE),0))</f>
        <v/>
      </c>
      <c r="G124" s="11">
        <f>IF(B124="","",E124*F124)</f>
        <v/>
      </c>
      <c r="H124" s="3" t="n"/>
    </row>
    <row r="125">
      <c r="A125" s="3" t="n"/>
      <c r="B125" s="3" t="n"/>
      <c r="C125" s="10">
        <f>IF(B125="","",IFERROR(VLOOKUP(B125,Catalogo!$A:$F,2,FALSE),"CODIGO NO ENCONTRADO"))</f>
        <v/>
      </c>
      <c r="D125" s="10">
        <f>IF(B125="","",IFERROR(VLOOKUP(B125,Catalogo!$A:$F,4,FALSE),""))</f>
        <v/>
      </c>
      <c r="E125" s="3" t="n"/>
      <c r="F125" s="11">
        <f>IF(B125="","",IFERROR(VLOOKUP(B125,Catalogo!$A:$F,6,FALSE),0))</f>
        <v/>
      </c>
      <c r="G125" s="11">
        <f>IF(B125="","",E125*F125)</f>
        <v/>
      </c>
      <c r="H125" s="3" t="n"/>
    </row>
    <row r="126">
      <c r="A126" s="3" t="n"/>
      <c r="B126" s="3" t="n"/>
      <c r="C126" s="10">
        <f>IF(B126="","",IFERROR(VLOOKUP(B126,Catalogo!$A:$F,2,FALSE),"CODIGO NO ENCONTRADO"))</f>
        <v/>
      </c>
      <c r="D126" s="10">
        <f>IF(B126="","",IFERROR(VLOOKUP(B126,Catalogo!$A:$F,4,FALSE),""))</f>
        <v/>
      </c>
      <c r="E126" s="3" t="n"/>
      <c r="F126" s="11">
        <f>IF(B126="","",IFERROR(VLOOKUP(B126,Catalogo!$A:$F,6,FALSE),0))</f>
        <v/>
      </c>
      <c r="G126" s="11">
        <f>IF(B126="","",E126*F126)</f>
        <v/>
      </c>
      <c r="H126" s="3" t="n"/>
    </row>
    <row r="127">
      <c r="A127" s="3" t="n"/>
      <c r="B127" s="3" t="n"/>
      <c r="C127" s="10">
        <f>IF(B127="","",IFERROR(VLOOKUP(B127,Catalogo!$A:$F,2,FALSE),"CODIGO NO ENCONTRADO"))</f>
        <v/>
      </c>
      <c r="D127" s="10">
        <f>IF(B127="","",IFERROR(VLOOKUP(B127,Catalogo!$A:$F,4,FALSE),""))</f>
        <v/>
      </c>
      <c r="E127" s="3" t="n"/>
      <c r="F127" s="11">
        <f>IF(B127="","",IFERROR(VLOOKUP(B127,Catalogo!$A:$F,6,FALSE),0))</f>
        <v/>
      </c>
      <c r="G127" s="11">
        <f>IF(B127="","",E127*F127)</f>
        <v/>
      </c>
      <c r="H127" s="3" t="n"/>
    </row>
    <row r="128">
      <c r="A128" s="3" t="n"/>
      <c r="B128" s="3" t="n"/>
      <c r="C128" s="10">
        <f>IF(B128="","",IFERROR(VLOOKUP(B128,Catalogo!$A:$F,2,FALSE),"CODIGO NO ENCONTRADO"))</f>
        <v/>
      </c>
      <c r="D128" s="10">
        <f>IF(B128="","",IFERROR(VLOOKUP(B128,Catalogo!$A:$F,4,FALSE),""))</f>
        <v/>
      </c>
      <c r="E128" s="3" t="n"/>
      <c r="F128" s="11">
        <f>IF(B128="","",IFERROR(VLOOKUP(B128,Catalogo!$A:$F,6,FALSE),0))</f>
        <v/>
      </c>
      <c r="G128" s="11">
        <f>IF(B128="","",E128*F128)</f>
        <v/>
      </c>
      <c r="H128" s="3" t="n"/>
    </row>
    <row r="129">
      <c r="A129" s="3" t="n"/>
      <c r="B129" s="3" t="n"/>
      <c r="C129" s="10">
        <f>IF(B129="","",IFERROR(VLOOKUP(B129,Catalogo!$A:$F,2,FALSE),"CODIGO NO ENCONTRADO"))</f>
        <v/>
      </c>
      <c r="D129" s="10">
        <f>IF(B129="","",IFERROR(VLOOKUP(B129,Catalogo!$A:$F,4,FALSE),""))</f>
        <v/>
      </c>
      <c r="E129" s="3" t="n"/>
      <c r="F129" s="11">
        <f>IF(B129="","",IFERROR(VLOOKUP(B129,Catalogo!$A:$F,6,FALSE),0))</f>
        <v/>
      </c>
      <c r="G129" s="11">
        <f>IF(B129="","",E129*F129)</f>
        <v/>
      </c>
      <c r="H129" s="3" t="n"/>
    </row>
    <row r="130">
      <c r="A130" s="3" t="n"/>
      <c r="B130" s="3" t="n"/>
      <c r="C130" s="10">
        <f>IF(B130="","",IFERROR(VLOOKUP(B130,Catalogo!$A:$F,2,FALSE),"CODIGO NO ENCONTRADO"))</f>
        <v/>
      </c>
      <c r="D130" s="10">
        <f>IF(B130="","",IFERROR(VLOOKUP(B130,Catalogo!$A:$F,4,FALSE),""))</f>
        <v/>
      </c>
      <c r="E130" s="3" t="n"/>
      <c r="F130" s="11">
        <f>IF(B130="","",IFERROR(VLOOKUP(B130,Catalogo!$A:$F,6,FALSE),0))</f>
        <v/>
      </c>
      <c r="G130" s="11">
        <f>IF(B130="","",E130*F130)</f>
        <v/>
      </c>
      <c r="H130" s="3" t="n"/>
    </row>
    <row r="131">
      <c r="A131" s="3" t="n"/>
      <c r="B131" s="3" t="n"/>
      <c r="C131" s="10">
        <f>IF(B131="","",IFERROR(VLOOKUP(B131,Catalogo!$A:$F,2,FALSE),"CODIGO NO ENCONTRADO"))</f>
        <v/>
      </c>
      <c r="D131" s="10">
        <f>IF(B131="","",IFERROR(VLOOKUP(B131,Catalogo!$A:$F,4,FALSE),""))</f>
        <v/>
      </c>
      <c r="E131" s="3" t="n"/>
      <c r="F131" s="11">
        <f>IF(B131="","",IFERROR(VLOOKUP(B131,Catalogo!$A:$F,6,FALSE),0))</f>
        <v/>
      </c>
      <c r="G131" s="11">
        <f>IF(B131="","",E131*F131)</f>
        <v/>
      </c>
      <c r="H131" s="3" t="n"/>
    </row>
    <row r="132">
      <c r="A132" s="3" t="n"/>
      <c r="B132" s="3" t="n"/>
      <c r="C132" s="10">
        <f>IF(B132="","",IFERROR(VLOOKUP(B132,Catalogo!$A:$F,2,FALSE),"CODIGO NO ENCONTRADO"))</f>
        <v/>
      </c>
      <c r="D132" s="10">
        <f>IF(B132="","",IFERROR(VLOOKUP(B132,Catalogo!$A:$F,4,FALSE),""))</f>
        <v/>
      </c>
      <c r="E132" s="3" t="n"/>
      <c r="F132" s="11">
        <f>IF(B132="","",IFERROR(VLOOKUP(B132,Catalogo!$A:$F,6,FALSE),0))</f>
        <v/>
      </c>
      <c r="G132" s="11">
        <f>IF(B132="","",E132*F132)</f>
        <v/>
      </c>
      <c r="H132" s="3" t="n"/>
    </row>
    <row r="133">
      <c r="A133" s="3" t="n"/>
      <c r="B133" s="3" t="n"/>
      <c r="C133" s="10">
        <f>IF(B133="","",IFERROR(VLOOKUP(B133,Catalogo!$A:$F,2,FALSE),"CODIGO NO ENCONTRADO"))</f>
        <v/>
      </c>
      <c r="D133" s="10">
        <f>IF(B133="","",IFERROR(VLOOKUP(B133,Catalogo!$A:$F,4,FALSE),""))</f>
        <v/>
      </c>
      <c r="E133" s="3" t="n"/>
      <c r="F133" s="11">
        <f>IF(B133="","",IFERROR(VLOOKUP(B133,Catalogo!$A:$F,6,FALSE),0))</f>
        <v/>
      </c>
      <c r="G133" s="11">
        <f>IF(B133="","",E133*F133)</f>
        <v/>
      </c>
      <c r="H133" s="3" t="n"/>
    </row>
    <row r="134">
      <c r="A134" s="3" t="n"/>
      <c r="B134" s="3" t="n"/>
      <c r="C134" s="10">
        <f>IF(B134="","",IFERROR(VLOOKUP(B134,Catalogo!$A:$F,2,FALSE),"CODIGO NO ENCONTRADO"))</f>
        <v/>
      </c>
      <c r="D134" s="10">
        <f>IF(B134="","",IFERROR(VLOOKUP(B134,Catalogo!$A:$F,4,FALSE),""))</f>
        <v/>
      </c>
      <c r="E134" s="3" t="n"/>
      <c r="F134" s="11">
        <f>IF(B134="","",IFERROR(VLOOKUP(B134,Catalogo!$A:$F,6,FALSE),0))</f>
        <v/>
      </c>
      <c r="G134" s="11">
        <f>IF(B134="","",E134*F134)</f>
        <v/>
      </c>
      <c r="H134" s="3" t="n"/>
    </row>
    <row r="135">
      <c r="A135" s="3" t="n"/>
      <c r="B135" s="3" t="n"/>
      <c r="C135" s="10">
        <f>IF(B135="","",IFERROR(VLOOKUP(B135,Catalogo!$A:$F,2,FALSE),"CODIGO NO ENCONTRADO"))</f>
        <v/>
      </c>
      <c r="D135" s="10">
        <f>IF(B135="","",IFERROR(VLOOKUP(B135,Catalogo!$A:$F,4,FALSE),""))</f>
        <v/>
      </c>
      <c r="E135" s="3" t="n"/>
      <c r="F135" s="11">
        <f>IF(B135="","",IFERROR(VLOOKUP(B135,Catalogo!$A:$F,6,FALSE),0))</f>
        <v/>
      </c>
      <c r="G135" s="11">
        <f>IF(B135="","",E135*F135)</f>
        <v/>
      </c>
      <c r="H135" s="3" t="n"/>
    </row>
    <row r="136">
      <c r="A136" s="3" t="n"/>
      <c r="B136" s="3" t="n"/>
      <c r="C136" s="10">
        <f>IF(B136="","",IFERROR(VLOOKUP(B136,Catalogo!$A:$F,2,FALSE),"CODIGO NO ENCONTRADO"))</f>
        <v/>
      </c>
      <c r="D136" s="10">
        <f>IF(B136="","",IFERROR(VLOOKUP(B136,Catalogo!$A:$F,4,FALSE),""))</f>
        <v/>
      </c>
      <c r="E136" s="3" t="n"/>
      <c r="F136" s="11">
        <f>IF(B136="","",IFERROR(VLOOKUP(B136,Catalogo!$A:$F,6,FALSE),0))</f>
        <v/>
      </c>
      <c r="G136" s="11">
        <f>IF(B136="","",E136*F136)</f>
        <v/>
      </c>
      <c r="H136" s="3" t="n"/>
    </row>
    <row r="137">
      <c r="A137" s="3" t="n"/>
      <c r="B137" s="3" t="n"/>
      <c r="C137" s="10">
        <f>IF(B137="","",IFERROR(VLOOKUP(B137,Catalogo!$A:$F,2,FALSE),"CODIGO NO ENCONTRADO"))</f>
        <v/>
      </c>
      <c r="D137" s="10">
        <f>IF(B137="","",IFERROR(VLOOKUP(B137,Catalogo!$A:$F,4,FALSE),""))</f>
        <v/>
      </c>
      <c r="E137" s="3" t="n"/>
      <c r="F137" s="11">
        <f>IF(B137="","",IFERROR(VLOOKUP(B137,Catalogo!$A:$F,6,FALSE),0))</f>
        <v/>
      </c>
      <c r="G137" s="11">
        <f>IF(B137="","",E137*F137)</f>
        <v/>
      </c>
      <c r="H137" s="3" t="n"/>
    </row>
    <row r="138">
      <c r="A138" s="3" t="n"/>
      <c r="B138" s="3" t="n"/>
      <c r="C138" s="10">
        <f>IF(B138="","",IFERROR(VLOOKUP(B138,Catalogo!$A:$F,2,FALSE),"CODIGO NO ENCONTRADO"))</f>
        <v/>
      </c>
      <c r="D138" s="10">
        <f>IF(B138="","",IFERROR(VLOOKUP(B138,Catalogo!$A:$F,4,FALSE),""))</f>
        <v/>
      </c>
      <c r="E138" s="3" t="n"/>
      <c r="F138" s="11">
        <f>IF(B138="","",IFERROR(VLOOKUP(B138,Catalogo!$A:$F,6,FALSE),0))</f>
        <v/>
      </c>
      <c r="G138" s="11">
        <f>IF(B138="","",E138*F138)</f>
        <v/>
      </c>
      <c r="H138" s="3" t="n"/>
    </row>
    <row r="139">
      <c r="A139" s="3" t="n"/>
      <c r="B139" s="3" t="n"/>
      <c r="C139" s="10">
        <f>IF(B139="","",IFERROR(VLOOKUP(B139,Catalogo!$A:$F,2,FALSE),"CODIGO NO ENCONTRADO"))</f>
        <v/>
      </c>
      <c r="D139" s="10">
        <f>IF(B139="","",IFERROR(VLOOKUP(B139,Catalogo!$A:$F,4,FALSE),""))</f>
        <v/>
      </c>
      <c r="E139" s="3" t="n"/>
      <c r="F139" s="11">
        <f>IF(B139="","",IFERROR(VLOOKUP(B139,Catalogo!$A:$F,6,FALSE),0))</f>
        <v/>
      </c>
      <c r="G139" s="11">
        <f>IF(B139="","",E139*F139)</f>
        <v/>
      </c>
      <c r="H139" s="3" t="n"/>
    </row>
    <row r="140">
      <c r="A140" s="3" t="n"/>
      <c r="B140" s="3" t="n"/>
      <c r="C140" s="10">
        <f>IF(B140="","",IFERROR(VLOOKUP(B140,Catalogo!$A:$F,2,FALSE),"CODIGO NO ENCONTRADO"))</f>
        <v/>
      </c>
      <c r="D140" s="10">
        <f>IF(B140="","",IFERROR(VLOOKUP(B140,Catalogo!$A:$F,4,FALSE),""))</f>
        <v/>
      </c>
      <c r="E140" s="3" t="n"/>
      <c r="F140" s="11">
        <f>IF(B140="","",IFERROR(VLOOKUP(B140,Catalogo!$A:$F,6,FALSE),0))</f>
        <v/>
      </c>
      <c r="G140" s="11">
        <f>IF(B140="","",E140*F140)</f>
        <v/>
      </c>
      <c r="H140" s="3" t="n"/>
    </row>
    <row r="141">
      <c r="A141" s="3" t="n"/>
      <c r="B141" s="3" t="n"/>
      <c r="C141" s="10">
        <f>IF(B141="","",IFERROR(VLOOKUP(B141,Catalogo!$A:$F,2,FALSE),"CODIGO NO ENCONTRADO"))</f>
        <v/>
      </c>
      <c r="D141" s="10">
        <f>IF(B141="","",IFERROR(VLOOKUP(B141,Catalogo!$A:$F,4,FALSE),""))</f>
        <v/>
      </c>
      <c r="E141" s="3" t="n"/>
      <c r="F141" s="11">
        <f>IF(B141="","",IFERROR(VLOOKUP(B141,Catalogo!$A:$F,6,FALSE),0))</f>
        <v/>
      </c>
      <c r="G141" s="11">
        <f>IF(B141="","",E141*F141)</f>
        <v/>
      </c>
      <c r="H141" s="3" t="n"/>
    </row>
    <row r="142">
      <c r="A142" s="3" t="n"/>
      <c r="B142" s="3" t="n"/>
      <c r="C142" s="10">
        <f>IF(B142="","",IFERROR(VLOOKUP(B142,Catalogo!$A:$F,2,FALSE),"CODIGO NO ENCONTRADO"))</f>
        <v/>
      </c>
      <c r="D142" s="10">
        <f>IF(B142="","",IFERROR(VLOOKUP(B142,Catalogo!$A:$F,4,FALSE),""))</f>
        <v/>
      </c>
      <c r="E142" s="3" t="n"/>
      <c r="F142" s="11">
        <f>IF(B142="","",IFERROR(VLOOKUP(B142,Catalogo!$A:$F,6,FALSE),0))</f>
        <v/>
      </c>
      <c r="G142" s="11">
        <f>IF(B142="","",E142*F142)</f>
        <v/>
      </c>
      <c r="H142" s="3" t="n"/>
    </row>
    <row r="143">
      <c r="A143" s="3" t="n"/>
      <c r="B143" s="3" t="n"/>
      <c r="C143" s="10">
        <f>IF(B143="","",IFERROR(VLOOKUP(B143,Catalogo!$A:$F,2,FALSE),"CODIGO NO ENCONTRADO"))</f>
        <v/>
      </c>
      <c r="D143" s="10">
        <f>IF(B143="","",IFERROR(VLOOKUP(B143,Catalogo!$A:$F,4,FALSE),""))</f>
        <v/>
      </c>
      <c r="E143" s="3" t="n"/>
      <c r="F143" s="11">
        <f>IF(B143="","",IFERROR(VLOOKUP(B143,Catalogo!$A:$F,6,FALSE),0))</f>
        <v/>
      </c>
      <c r="G143" s="11">
        <f>IF(B143="","",E143*F143)</f>
        <v/>
      </c>
      <c r="H143" s="3" t="n"/>
    </row>
    <row r="144">
      <c r="A144" s="3" t="n"/>
      <c r="B144" s="3" t="n"/>
      <c r="C144" s="10">
        <f>IF(B144="","",IFERROR(VLOOKUP(B144,Catalogo!$A:$F,2,FALSE),"CODIGO NO ENCONTRADO"))</f>
        <v/>
      </c>
      <c r="D144" s="10">
        <f>IF(B144="","",IFERROR(VLOOKUP(B144,Catalogo!$A:$F,4,FALSE),""))</f>
        <v/>
      </c>
      <c r="E144" s="3" t="n"/>
      <c r="F144" s="11">
        <f>IF(B144="","",IFERROR(VLOOKUP(B144,Catalogo!$A:$F,6,FALSE),0))</f>
        <v/>
      </c>
      <c r="G144" s="11">
        <f>IF(B144="","",E144*F144)</f>
        <v/>
      </c>
      <c r="H144" s="3" t="n"/>
    </row>
    <row r="145">
      <c r="A145" s="3" t="n"/>
      <c r="B145" s="3" t="n"/>
      <c r="C145" s="10">
        <f>IF(B145="","",IFERROR(VLOOKUP(B145,Catalogo!$A:$F,2,FALSE),"CODIGO NO ENCONTRADO"))</f>
        <v/>
      </c>
      <c r="D145" s="10">
        <f>IF(B145="","",IFERROR(VLOOKUP(B145,Catalogo!$A:$F,4,FALSE),""))</f>
        <v/>
      </c>
      <c r="E145" s="3" t="n"/>
      <c r="F145" s="11">
        <f>IF(B145="","",IFERROR(VLOOKUP(B145,Catalogo!$A:$F,6,FALSE),0))</f>
        <v/>
      </c>
      <c r="G145" s="11">
        <f>IF(B145="","",E145*F145)</f>
        <v/>
      </c>
      <c r="H145" s="3" t="n"/>
    </row>
    <row r="146">
      <c r="A146" s="3" t="n"/>
      <c r="B146" s="3" t="n"/>
      <c r="C146" s="10">
        <f>IF(B146="","",IFERROR(VLOOKUP(B146,Catalogo!$A:$F,2,FALSE),"CODIGO NO ENCONTRADO"))</f>
        <v/>
      </c>
      <c r="D146" s="10">
        <f>IF(B146="","",IFERROR(VLOOKUP(B146,Catalogo!$A:$F,4,FALSE),""))</f>
        <v/>
      </c>
      <c r="E146" s="3" t="n"/>
      <c r="F146" s="11">
        <f>IF(B146="","",IFERROR(VLOOKUP(B146,Catalogo!$A:$F,6,FALSE),0))</f>
        <v/>
      </c>
      <c r="G146" s="11">
        <f>IF(B146="","",E146*F146)</f>
        <v/>
      </c>
      <c r="H146" s="3" t="n"/>
    </row>
    <row r="147">
      <c r="A147" s="3" t="n"/>
      <c r="B147" s="3" t="n"/>
      <c r="C147" s="10">
        <f>IF(B147="","",IFERROR(VLOOKUP(B147,Catalogo!$A:$F,2,FALSE),"CODIGO NO ENCONTRADO"))</f>
        <v/>
      </c>
      <c r="D147" s="10">
        <f>IF(B147="","",IFERROR(VLOOKUP(B147,Catalogo!$A:$F,4,FALSE),""))</f>
        <v/>
      </c>
      <c r="E147" s="3" t="n"/>
      <c r="F147" s="11">
        <f>IF(B147="","",IFERROR(VLOOKUP(B147,Catalogo!$A:$F,6,FALSE),0))</f>
        <v/>
      </c>
      <c r="G147" s="11">
        <f>IF(B147="","",E147*F147)</f>
        <v/>
      </c>
      <c r="H147" s="3" t="n"/>
    </row>
    <row r="148">
      <c r="A148" s="3" t="n"/>
      <c r="B148" s="3" t="n"/>
      <c r="C148" s="10">
        <f>IF(B148="","",IFERROR(VLOOKUP(B148,Catalogo!$A:$F,2,FALSE),"CODIGO NO ENCONTRADO"))</f>
        <v/>
      </c>
      <c r="D148" s="10">
        <f>IF(B148="","",IFERROR(VLOOKUP(B148,Catalogo!$A:$F,4,FALSE),""))</f>
        <v/>
      </c>
      <c r="E148" s="3" t="n"/>
      <c r="F148" s="11">
        <f>IF(B148="","",IFERROR(VLOOKUP(B148,Catalogo!$A:$F,6,FALSE),0))</f>
        <v/>
      </c>
      <c r="G148" s="11">
        <f>IF(B148="","",E148*F148)</f>
        <v/>
      </c>
      <c r="H148" s="3" t="n"/>
    </row>
    <row r="149">
      <c r="A149" s="3" t="n"/>
      <c r="B149" s="3" t="n"/>
      <c r="C149" s="10">
        <f>IF(B149="","",IFERROR(VLOOKUP(B149,Catalogo!$A:$F,2,FALSE),"CODIGO NO ENCONTRADO"))</f>
        <v/>
      </c>
      <c r="D149" s="10">
        <f>IF(B149="","",IFERROR(VLOOKUP(B149,Catalogo!$A:$F,4,FALSE),""))</f>
        <v/>
      </c>
      <c r="E149" s="3" t="n"/>
      <c r="F149" s="11">
        <f>IF(B149="","",IFERROR(VLOOKUP(B149,Catalogo!$A:$F,6,FALSE),0))</f>
        <v/>
      </c>
      <c r="G149" s="11">
        <f>IF(B149="","",E149*F149)</f>
        <v/>
      </c>
      <c r="H149" s="3" t="n"/>
    </row>
    <row r="150">
      <c r="A150" s="3" t="n"/>
      <c r="B150" s="3" t="n"/>
      <c r="C150" s="10">
        <f>IF(B150="","",IFERROR(VLOOKUP(B150,Catalogo!$A:$F,2,FALSE),"CODIGO NO ENCONTRADO"))</f>
        <v/>
      </c>
      <c r="D150" s="10">
        <f>IF(B150="","",IFERROR(VLOOKUP(B150,Catalogo!$A:$F,4,FALSE),""))</f>
        <v/>
      </c>
      <c r="E150" s="3" t="n"/>
      <c r="F150" s="11">
        <f>IF(B150="","",IFERROR(VLOOKUP(B150,Catalogo!$A:$F,6,FALSE),0))</f>
        <v/>
      </c>
      <c r="G150" s="11">
        <f>IF(B150="","",E150*F150)</f>
        <v/>
      </c>
      <c r="H150" s="3" t="n"/>
    </row>
    <row r="151">
      <c r="A151" s="3" t="n"/>
      <c r="B151" s="3" t="n"/>
      <c r="C151" s="10">
        <f>IF(B151="","",IFERROR(VLOOKUP(B151,Catalogo!$A:$F,2,FALSE),"CODIGO NO ENCONTRADO"))</f>
        <v/>
      </c>
      <c r="D151" s="10">
        <f>IF(B151="","",IFERROR(VLOOKUP(B151,Catalogo!$A:$F,4,FALSE),""))</f>
        <v/>
      </c>
      <c r="E151" s="3" t="n"/>
      <c r="F151" s="11">
        <f>IF(B151="","",IFERROR(VLOOKUP(B151,Catalogo!$A:$F,6,FALSE),0))</f>
        <v/>
      </c>
      <c r="G151" s="11">
        <f>IF(B151="","",E151*F151)</f>
        <v/>
      </c>
      <c r="H151" s="3" t="n"/>
    </row>
    <row r="152">
      <c r="A152" s="3" t="n"/>
      <c r="B152" s="3" t="n"/>
      <c r="C152" s="10">
        <f>IF(B152="","",IFERROR(VLOOKUP(B152,Catalogo!$A:$F,2,FALSE),"CODIGO NO ENCONTRADO"))</f>
        <v/>
      </c>
      <c r="D152" s="10">
        <f>IF(B152="","",IFERROR(VLOOKUP(B152,Catalogo!$A:$F,4,FALSE),""))</f>
        <v/>
      </c>
      <c r="E152" s="3" t="n"/>
      <c r="F152" s="11">
        <f>IF(B152="","",IFERROR(VLOOKUP(B152,Catalogo!$A:$F,6,FALSE),0))</f>
        <v/>
      </c>
      <c r="G152" s="11">
        <f>IF(B152="","",E152*F152)</f>
        <v/>
      </c>
      <c r="H152" s="3" t="n"/>
    </row>
    <row r="153">
      <c r="A153" s="3" t="n"/>
      <c r="B153" s="3" t="n"/>
      <c r="C153" s="10">
        <f>IF(B153="","",IFERROR(VLOOKUP(B153,Catalogo!$A:$F,2,FALSE),"CODIGO NO ENCONTRADO"))</f>
        <v/>
      </c>
      <c r="D153" s="10">
        <f>IF(B153="","",IFERROR(VLOOKUP(B153,Catalogo!$A:$F,4,FALSE),""))</f>
        <v/>
      </c>
      <c r="E153" s="3" t="n"/>
      <c r="F153" s="11">
        <f>IF(B153="","",IFERROR(VLOOKUP(B153,Catalogo!$A:$F,6,FALSE),0))</f>
        <v/>
      </c>
      <c r="G153" s="11">
        <f>IF(B153="","",E153*F153)</f>
        <v/>
      </c>
      <c r="H153" s="3" t="n"/>
    </row>
    <row r="154">
      <c r="A154" s="3" t="n"/>
      <c r="B154" s="3" t="n"/>
      <c r="C154" s="10">
        <f>IF(B154="","",IFERROR(VLOOKUP(B154,Catalogo!$A:$F,2,FALSE),"CODIGO NO ENCONTRADO"))</f>
        <v/>
      </c>
      <c r="D154" s="10">
        <f>IF(B154="","",IFERROR(VLOOKUP(B154,Catalogo!$A:$F,4,FALSE),""))</f>
        <v/>
      </c>
      <c r="E154" s="3" t="n"/>
      <c r="F154" s="11">
        <f>IF(B154="","",IFERROR(VLOOKUP(B154,Catalogo!$A:$F,6,FALSE),0))</f>
        <v/>
      </c>
      <c r="G154" s="11">
        <f>IF(B154="","",E154*F154)</f>
        <v/>
      </c>
      <c r="H154" s="3" t="n"/>
    </row>
    <row r="155">
      <c r="A155" s="3" t="n"/>
      <c r="B155" s="3" t="n"/>
      <c r="C155" s="10">
        <f>IF(B155="","",IFERROR(VLOOKUP(B155,Catalogo!$A:$F,2,FALSE),"CODIGO NO ENCONTRADO"))</f>
        <v/>
      </c>
      <c r="D155" s="10">
        <f>IF(B155="","",IFERROR(VLOOKUP(B155,Catalogo!$A:$F,4,FALSE),""))</f>
        <v/>
      </c>
      <c r="E155" s="3" t="n"/>
      <c r="F155" s="11">
        <f>IF(B155="","",IFERROR(VLOOKUP(B155,Catalogo!$A:$F,6,FALSE),0))</f>
        <v/>
      </c>
      <c r="G155" s="11">
        <f>IF(B155="","",E155*F155)</f>
        <v/>
      </c>
      <c r="H155" s="3" t="n"/>
    </row>
    <row r="156">
      <c r="A156" s="3" t="n"/>
      <c r="B156" s="3" t="n"/>
      <c r="C156" s="10">
        <f>IF(B156="","",IFERROR(VLOOKUP(B156,Catalogo!$A:$F,2,FALSE),"CODIGO NO ENCONTRADO"))</f>
        <v/>
      </c>
      <c r="D156" s="10">
        <f>IF(B156="","",IFERROR(VLOOKUP(B156,Catalogo!$A:$F,4,FALSE),""))</f>
        <v/>
      </c>
      <c r="E156" s="3" t="n"/>
      <c r="F156" s="11">
        <f>IF(B156="","",IFERROR(VLOOKUP(B156,Catalogo!$A:$F,6,FALSE),0))</f>
        <v/>
      </c>
      <c r="G156" s="11">
        <f>IF(B156="","",E156*F156)</f>
        <v/>
      </c>
      <c r="H156" s="3" t="n"/>
    </row>
    <row r="157">
      <c r="A157" s="3" t="n"/>
      <c r="B157" s="3" t="n"/>
      <c r="C157" s="10">
        <f>IF(B157="","",IFERROR(VLOOKUP(B157,Catalogo!$A:$F,2,FALSE),"CODIGO NO ENCONTRADO"))</f>
        <v/>
      </c>
      <c r="D157" s="10">
        <f>IF(B157="","",IFERROR(VLOOKUP(B157,Catalogo!$A:$F,4,FALSE),""))</f>
        <v/>
      </c>
      <c r="E157" s="3" t="n"/>
      <c r="F157" s="11">
        <f>IF(B157="","",IFERROR(VLOOKUP(B157,Catalogo!$A:$F,6,FALSE),0))</f>
        <v/>
      </c>
      <c r="G157" s="11">
        <f>IF(B157="","",E157*F157)</f>
        <v/>
      </c>
      <c r="H157" s="3" t="n"/>
    </row>
    <row r="158">
      <c r="A158" s="3" t="n"/>
      <c r="B158" s="3" t="n"/>
      <c r="C158" s="10">
        <f>IF(B158="","",IFERROR(VLOOKUP(B158,Catalogo!$A:$F,2,FALSE),"CODIGO NO ENCONTRADO"))</f>
        <v/>
      </c>
      <c r="D158" s="10">
        <f>IF(B158="","",IFERROR(VLOOKUP(B158,Catalogo!$A:$F,4,FALSE),""))</f>
        <v/>
      </c>
      <c r="E158" s="3" t="n"/>
      <c r="F158" s="11">
        <f>IF(B158="","",IFERROR(VLOOKUP(B158,Catalogo!$A:$F,6,FALSE),0))</f>
        <v/>
      </c>
      <c r="G158" s="11">
        <f>IF(B158="","",E158*F158)</f>
        <v/>
      </c>
      <c r="H158" s="3" t="n"/>
    </row>
    <row r="159">
      <c r="A159" s="3" t="n"/>
      <c r="B159" s="3" t="n"/>
      <c r="C159" s="10">
        <f>IF(B159="","",IFERROR(VLOOKUP(B159,Catalogo!$A:$F,2,FALSE),"CODIGO NO ENCONTRADO"))</f>
        <v/>
      </c>
      <c r="D159" s="10">
        <f>IF(B159="","",IFERROR(VLOOKUP(B159,Catalogo!$A:$F,4,FALSE),""))</f>
        <v/>
      </c>
      <c r="E159" s="3" t="n"/>
      <c r="F159" s="11">
        <f>IF(B159="","",IFERROR(VLOOKUP(B159,Catalogo!$A:$F,6,FALSE),0))</f>
        <v/>
      </c>
      <c r="G159" s="11">
        <f>IF(B159="","",E159*F159)</f>
        <v/>
      </c>
      <c r="H159" s="3" t="n"/>
    </row>
    <row r="160">
      <c r="A160" s="3" t="n"/>
      <c r="B160" s="3" t="n"/>
      <c r="C160" s="10">
        <f>IF(B160="","",IFERROR(VLOOKUP(B160,Catalogo!$A:$F,2,FALSE),"CODIGO NO ENCONTRADO"))</f>
        <v/>
      </c>
      <c r="D160" s="10">
        <f>IF(B160="","",IFERROR(VLOOKUP(B160,Catalogo!$A:$F,4,FALSE),""))</f>
        <v/>
      </c>
      <c r="E160" s="3" t="n"/>
      <c r="F160" s="11">
        <f>IF(B160="","",IFERROR(VLOOKUP(B160,Catalogo!$A:$F,6,FALSE),0))</f>
        <v/>
      </c>
      <c r="G160" s="11">
        <f>IF(B160="","",E160*F160)</f>
        <v/>
      </c>
      <c r="H160" s="3" t="n"/>
    </row>
    <row r="161">
      <c r="A161" s="3" t="n"/>
      <c r="B161" s="3" t="n"/>
      <c r="C161" s="10">
        <f>IF(B161="","",IFERROR(VLOOKUP(B161,Catalogo!$A:$F,2,FALSE),"CODIGO NO ENCONTRADO"))</f>
        <v/>
      </c>
      <c r="D161" s="10">
        <f>IF(B161="","",IFERROR(VLOOKUP(B161,Catalogo!$A:$F,4,FALSE),""))</f>
        <v/>
      </c>
      <c r="E161" s="3" t="n"/>
      <c r="F161" s="11">
        <f>IF(B161="","",IFERROR(VLOOKUP(B161,Catalogo!$A:$F,6,FALSE),0))</f>
        <v/>
      </c>
      <c r="G161" s="11">
        <f>IF(B161="","",E161*F161)</f>
        <v/>
      </c>
      <c r="H161" s="3" t="n"/>
    </row>
    <row r="162">
      <c r="A162" s="3" t="n"/>
      <c r="B162" s="3" t="n"/>
      <c r="C162" s="10">
        <f>IF(B162="","",IFERROR(VLOOKUP(B162,Catalogo!$A:$F,2,FALSE),"CODIGO NO ENCONTRADO"))</f>
        <v/>
      </c>
      <c r="D162" s="10">
        <f>IF(B162="","",IFERROR(VLOOKUP(B162,Catalogo!$A:$F,4,FALSE),""))</f>
        <v/>
      </c>
      <c r="E162" s="3" t="n"/>
      <c r="F162" s="11">
        <f>IF(B162="","",IFERROR(VLOOKUP(B162,Catalogo!$A:$F,6,FALSE),0))</f>
        <v/>
      </c>
      <c r="G162" s="11">
        <f>IF(B162="","",E162*F162)</f>
        <v/>
      </c>
      <c r="H162" s="3" t="n"/>
    </row>
    <row r="163">
      <c r="A163" s="3" t="n"/>
      <c r="B163" s="3" t="n"/>
      <c r="C163" s="10">
        <f>IF(B163="","",IFERROR(VLOOKUP(B163,Catalogo!$A:$F,2,FALSE),"CODIGO NO ENCONTRADO"))</f>
        <v/>
      </c>
      <c r="D163" s="10">
        <f>IF(B163="","",IFERROR(VLOOKUP(B163,Catalogo!$A:$F,4,FALSE),""))</f>
        <v/>
      </c>
      <c r="E163" s="3" t="n"/>
      <c r="F163" s="11">
        <f>IF(B163="","",IFERROR(VLOOKUP(B163,Catalogo!$A:$F,6,FALSE),0))</f>
        <v/>
      </c>
      <c r="G163" s="11">
        <f>IF(B163="","",E163*F163)</f>
        <v/>
      </c>
      <c r="H163" s="3" t="n"/>
    </row>
    <row r="164">
      <c r="A164" s="3" t="n"/>
      <c r="B164" s="3" t="n"/>
      <c r="C164" s="10">
        <f>IF(B164="","",IFERROR(VLOOKUP(B164,Catalogo!$A:$F,2,FALSE),"CODIGO NO ENCONTRADO"))</f>
        <v/>
      </c>
      <c r="D164" s="10">
        <f>IF(B164="","",IFERROR(VLOOKUP(B164,Catalogo!$A:$F,4,FALSE),""))</f>
        <v/>
      </c>
      <c r="E164" s="3" t="n"/>
      <c r="F164" s="11">
        <f>IF(B164="","",IFERROR(VLOOKUP(B164,Catalogo!$A:$F,6,FALSE),0))</f>
        <v/>
      </c>
      <c r="G164" s="11">
        <f>IF(B164="","",E164*F164)</f>
        <v/>
      </c>
      <c r="H164" s="3" t="n"/>
    </row>
    <row r="165">
      <c r="A165" s="3" t="n"/>
      <c r="B165" s="3" t="n"/>
      <c r="C165" s="10">
        <f>IF(B165="","",IFERROR(VLOOKUP(B165,Catalogo!$A:$F,2,FALSE),"CODIGO NO ENCONTRADO"))</f>
        <v/>
      </c>
      <c r="D165" s="10">
        <f>IF(B165="","",IFERROR(VLOOKUP(B165,Catalogo!$A:$F,4,FALSE),""))</f>
        <v/>
      </c>
      <c r="E165" s="3" t="n"/>
      <c r="F165" s="11">
        <f>IF(B165="","",IFERROR(VLOOKUP(B165,Catalogo!$A:$F,6,FALSE),0))</f>
        <v/>
      </c>
      <c r="G165" s="11">
        <f>IF(B165="","",E165*F165)</f>
        <v/>
      </c>
      <c r="H165" s="3" t="n"/>
    </row>
    <row r="166">
      <c r="A166" s="3" t="n"/>
      <c r="B166" s="3" t="n"/>
      <c r="C166" s="10">
        <f>IF(B166="","",IFERROR(VLOOKUP(B166,Catalogo!$A:$F,2,FALSE),"CODIGO NO ENCONTRADO"))</f>
        <v/>
      </c>
      <c r="D166" s="10">
        <f>IF(B166="","",IFERROR(VLOOKUP(B166,Catalogo!$A:$F,4,FALSE),""))</f>
        <v/>
      </c>
      <c r="E166" s="3" t="n"/>
      <c r="F166" s="11">
        <f>IF(B166="","",IFERROR(VLOOKUP(B166,Catalogo!$A:$F,6,FALSE),0))</f>
        <v/>
      </c>
      <c r="G166" s="11">
        <f>IF(B166="","",E166*F166)</f>
        <v/>
      </c>
      <c r="H166" s="3" t="n"/>
    </row>
    <row r="167">
      <c r="A167" s="3" t="n"/>
      <c r="B167" s="3" t="n"/>
      <c r="C167" s="10">
        <f>IF(B167="","",IFERROR(VLOOKUP(B167,Catalogo!$A:$F,2,FALSE),"CODIGO NO ENCONTRADO"))</f>
        <v/>
      </c>
      <c r="D167" s="10">
        <f>IF(B167="","",IFERROR(VLOOKUP(B167,Catalogo!$A:$F,4,FALSE),""))</f>
        <v/>
      </c>
      <c r="E167" s="3" t="n"/>
      <c r="F167" s="11">
        <f>IF(B167="","",IFERROR(VLOOKUP(B167,Catalogo!$A:$F,6,FALSE),0))</f>
        <v/>
      </c>
      <c r="G167" s="11">
        <f>IF(B167="","",E167*F167)</f>
        <v/>
      </c>
      <c r="H167" s="3" t="n"/>
    </row>
    <row r="168">
      <c r="A168" s="3" t="n"/>
      <c r="B168" s="3" t="n"/>
      <c r="C168" s="10">
        <f>IF(B168="","",IFERROR(VLOOKUP(B168,Catalogo!$A:$F,2,FALSE),"CODIGO NO ENCONTRADO"))</f>
        <v/>
      </c>
      <c r="D168" s="10">
        <f>IF(B168="","",IFERROR(VLOOKUP(B168,Catalogo!$A:$F,4,FALSE),""))</f>
        <v/>
      </c>
      <c r="E168" s="3" t="n"/>
      <c r="F168" s="11">
        <f>IF(B168="","",IFERROR(VLOOKUP(B168,Catalogo!$A:$F,6,FALSE),0))</f>
        <v/>
      </c>
      <c r="G168" s="11">
        <f>IF(B168="","",E168*F168)</f>
        <v/>
      </c>
      <c r="H168" s="3" t="n"/>
    </row>
    <row r="169">
      <c r="A169" s="3" t="n"/>
      <c r="B169" s="3" t="n"/>
      <c r="C169" s="10">
        <f>IF(B169="","",IFERROR(VLOOKUP(B169,Catalogo!$A:$F,2,FALSE),"CODIGO NO ENCONTRADO"))</f>
        <v/>
      </c>
      <c r="D169" s="10">
        <f>IF(B169="","",IFERROR(VLOOKUP(B169,Catalogo!$A:$F,4,FALSE),""))</f>
        <v/>
      </c>
      <c r="E169" s="3" t="n"/>
      <c r="F169" s="11">
        <f>IF(B169="","",IFERROR(VLOOKUP(B169,Catalogo!$A:$F,6,FALSE),0))</f>
        <v/>
      </c>
      <c r="G169" s="11">
        <f>IF(B169="","",E169*F169)</f>
        <v/>
      </c>
      <c r="H169" s="3" t="n"/>
    </row>
    <row r="170">
      <c r="A170" s="3" t="n"/>
      <c r="B170" s="3" t="n"/>
      <c r="C170" s="10">
        <f>IF(B170="","",IFERROR(VLOOKUP(B170,Catalogo!$A:$F,2,FALSE),"CODIGO NO ENCONTRADO"))</f>
        <v/>
      </c>
      <c r="D170" s="10">
        <f>IF(B170="","",IFERROR(VLOOKUP(B170,Catalogo!$A:$F,4,FALSE),""))</f>
        <v/>
      </c>
      <c r="E170" s="3" t="n"/>
      <c r="F170" s="11">
        <f>IF(B170="","",IFERROR(VLOOKUP(B170,Catalogo!$A:$F,6,FALSE),0))</f>
        <v/>
      </c>
      <c r="G170" s="11">
        <f>IF(B170="","",E170*F170)</f>
        <v/>
      </c>
      <c r="H170" s="3" t="n"/>
    </row>
    <row r="171">
      <c r="A171" s="3" t="n"/>
      <c r="B171" s="3" t="n"/>
      <c r="C171" s="10">
        <f>IF(B171="","",IFERROR(VLOOKUP(B171,Catalogo!$A:$F,2,FALSE),"CODIGO NO ENCONTRADO"))</f>
        <v/>
      </c>
      <c r="D171" s="10">
        <f>IF(B171="","",IFERROR(VLOOKUP(B171,Catalogo!$A:$F,4,FALSE),""))</f>
        <v/>
      </c>
      <c r="E171" s="3" t="n"/>
      <c r="F171" s="11">
        <f>IF(B171="","",IFERROR(VLOOKUP(B171,Catalogo!$A:$F,6,FALSE),0))</f>
        <v/>
      </c>
      <c r="G171" s="11">
        <f>IF(B171="","",E171*F171)</f>
        <v/>
      </c>
      <c r="H171" s="3" t="n"/>
    </row>
    <row r="172">
      <c r="A172" s="3" t="n"/>
      <c r="B172" s="3" t="n"/>
      <c r="C172" s="10">
        <f>IF(B172="","",IFERROR(VLOOKUP(B172,Catalogo!$A:$F,2,FALSE),"CODIGO NO ENCONTRADO"))</f>
        <v/>
      </c>
      <c r="D172" s="10">
        <f>IF(B172="","",IFERROR(VLOOKUP(B172,Catalogo!$A:$F,4,FALSE),""))</f>
        <v/>
      </c>
      <c r="E172" s="3" t="n"/>
      <c r="F172" s="11">
        <f>IF(B172="","",IFERROR(VLOOKUP(B172,Catalogo!$A:$F,6,FALSE),0))</f>
        <v/>
      </c>
      <c r="G172" s="11">
        <f>IF(B172="","",E172*F172)</f>
        <v/>
      </c>
      <c r="H172" s="3" t="n"/>
    </row>
    <row r="173">
      <c r="A173" s="3" t="n"/>
      <c r="B173" s="3" t="n"/>
      <c r="C173" s="10">
        <f>IF(B173="","",IFERROR(VLOOKUP(B173,Catalogo!$A:$F,2,FALSE),"CODIGO NO ENCONTRADO"))</f>
        <v/>
      </c>
      <c r="D173" s="10">
        <f>IF(B173="","",IFERROR(VLOOKUP(B173,Catalogo!$A:$F,4,FALSE),""))</f>
        <v/>
      </c>
      <c r="E173" s="3" t="n"/>
      <c r="F173" s="11">
        <f>IF(B173="","",IFERROR(VLOOKUP(B173,Catalogo!$A:$F,6,FALSE),0))</f>
        <v/>
      </c>
      <c r="G173" s="11">
        <f>IF(B173="","",E173*F173)</f>
        <v/>
      </c>
      <c r="H173" s="3" t="n"/>
    </row>
    <row r="174">
      <c r="A174" s="3" t="n"/>
      <c r="B174" s="3" t="n"/>
      <c r="C174" s="10">
        <f>IF(B174="","",IFERROR(VLOOKUP(B174,Catalogo!$A:$F,2,FALSE),"CODIGO NO ENCONTRADO"))</f>
        <v/>
      </c>
      <c r="D174" s="10">
        <f>IF(B174="","",IFERROR(VLOOKUP(B174,Catalogo!$A:$F,4,FALSE),""))</f>
        <v/>
      </c>
      <c r="E174" s="3" t="n"/>
      <c r="F174" s="11">
        <f>IF(B174="","",IFERROR(VLOOKUP(B174,Catalogo!$A:$F,6,FALSE),0))</f>
        <v/>
      </c>
      <c r="G174" s="11">
        <f>IF(B174="","",E174*F174)</f>
        <v/>
      </c>
      <c r="H174" s="3" t="n"/>
    </row>
    <row r="175">
      <c r="A175" s="3" t="n"/>
      <c r="B175" s="3" t="n"/>
      <c r="C175" s="10">
        <f>IF(B175="","",IFERROR(VLOOKUP(B175,Catalogo!$A:$F,2,FALSE),"CODIGO NO ENCONTRADO"))</f>
        <v/>
      </c>
      <c r="D175" s="10">
        <f>IF(B175="","",IFERROR(VLOOKUP(B175,Catalogo!$A:$F,4,FALSE),""))</f>
        <v/>
      </c>
      <c r="E175" s="3" t="n"/>
      <c r="F175" s="11">
        <f>IF(B175="","",IFERROR(VLOOKUP(B175,Catalogo!$A:$F,6,FALSE),0))</f>
        <v/>
      </c>
      <c r="G175" s="11">
        <f>IF(B175="","",E175*F175)</f>
        <v/>
      </c>
      <c r="H175" s="3" t="n"/>
    </row>
    <row r="176">
      <c r="A176" s="3" t="n"/>
      <c r="B176" s="3" t="n"/>
      <c r="C176" s="10">
        <f>IF(B176="","",IFERROR(VLOOKUP(B176,Catalogo!$A:$F,2,FALSE),"CODIGO NO ENCONTRADO"))</f>
        <v/>
      </c>
      <c r="D176" s="10">
        <f>IF(B176="","",IFERROR(VLOOKUP(B176,Catalogo!$A:$F,4,FALSE),""))</f>
        <v/>
      </c>
      <c r="E176" s="3" t="n"/>
      <c r="F176" s="11">
        <f>IF(B176="","",IFERROR(VLOOKUP(B176,Catalogo!$A:$F,6,FALSE),0))</f>
        <v/>
      </c>
      <c r="G176" s="11">
        <f>IF(B176="","",E176*F176)</f>
        <v/>
      </c>
      <c r="H176" s="3" t="n"/>
    </row>
    <row r="177">
      <c r="A177" s="3" t="n"/>
      <c r="B177" s="3" t="n"/>
      <c r="C177" s="10">
        <f>IF(B177="","",IFERROR(VLOOKUP(B177,Catalogo!$A:$F,2,FALSE),"CODIGO NO ENCONTRADO"))</f>
        <v/>
      </c>
      <c r="D177" s="10">
        <f>IF(B177="","",IFERROR(VLOOKUP(B177,Catalogo!$A:$F,4,FALSE),""))</f>
        <v/>
      </c>
      <c r="E177" s="3" t="n"/>
      <c r="F177" s="11">
        <f>IF(B177="","",IFERROR(VLOOKUP(B177,Catalogo!$A:$F,6,FALSE),0))</f>
        <v/>
      </c>
      <c r="G177" s="11">
        <f>IF(B177="","",E177*F177)</f>
        <v/>
      </c>
      <c r="H177" s="3" t="n"/>
    </row>
    <row r="178">
      <c r="A178" s="3" t="n"/>
      <c r="B178" s="3" t="n"/>
      <c r="C178" s="10">
        <f>IF(B178="","",IFERROR(VLOOKUP(B178,Catalogo!$A:$F,2,FALSE),"CODIGO NO ENCONTRADO"))</f>
        <v/>
      </c>
      <c r="D178" s="10">
        <f>IF(B178="","",IFERROR(VLOOKUP(B178,Catalogo!$A:$F,4,FALSE),""))</f>
        <v/>
      </c>
      <c r="E178" s="3" t="n"/>
      <c r="F178" s="11">
        <f>IF(B178="","",IFERROR(VLOOKUP(B178,Catalogo!$A:$F,6,FALSE),0))</f>
        <v/>
      </c>
      <c r="G178" s="11">
        <f>IF(B178="","",E178*F178)</f>
        <v/>
      </c>
      <c r="H178" s="3" t="n"/>
    </row>
    <row r="179">
      <c r="A179" s="3" t="n"/>
      <c r="B179" s="3" t="n"/>
      <c r="C179" s="10">
        <f>IF(B179="","",IFERROR(VLOOKUP(B179,Catalogo!$A:$F,2,FALSE),"CODIGO NO ENCONTRADO"))</f>
        <v/>
      </c>
      <c r="D179" s="10">
        <f>IF(B179="","",IFERROR(VLOOKUP(B179,Catalogo!$A:$F,4,FALSE),""))</f>
        <v/>
      </c>
      <c r="E179" s="3" t="n"/>
      <c r="F179" s="11">
        <f>IF(B179="","",IFERROR(VLOOKUP(B179,Catalogo!$A:$F,6,FALSE),0))</f>
        <v/>
      </c>
      <c r="G179" s="11">
        <f>IF(B179="","",E179*F179)</f>
        <v/>
      </c>
      <c r="H179" s="3" t="n"/>
    </row>
    <row r="180">
      <c r="A180" s="3" t="n"/>
      <c r="B180" s="3" t="n"/>
      <c r="C180" s="10">
        <f>IF(B180="","",IFERROR(VLOOKUP(B180,Catalogo!$A:$F,2,FALSE),"CODIGO NO ENCONTRADO"))</f>
        <v/>
      </c>
      <c r="D180" s="10">
        <f>IF(B180="","",IFERROR(VLOOKUP(B180,Catalogo!$A:$F,4,FALSE),""))</f>
        <v/>
      </c>
      <c r="E180" s="3" t="n"/>
      <c r="F180" s="11">
        <f>IF(B180="","",IFERROR(VLOOKUP(B180,Catalogo!$A:$F,6,FALSE),0))</f>
        <v/>
      </c>
      <c r="G180" s="11">
        <f>IF(B180="","",E180*F180)</f>
        <v/>
      </c>
      <c r="H180" s="3" t="n"/>
    </row>
    <row r="181">
      <c r="A181" s="3" t="n"/>
      <c r="B181" s="3" t="n"/>
      <c r="C181" s="10">
        <f>IF(B181="","",IFERROR(VLOOKUP(B181,Catalogo!$A:$F,2,FALSE),"CODIGO NO ENCONTRADO"))</f>
        <v/>
      </c>
      <c r="D181" s="10">
        <f>IF(B181="","",IFERROR(VLOOKUP(B181,Catalogo!$A:$F,4,FALSE),""))</f>
        <v/>
      </c>
      <c r="E181" s="3" t="n"/>
      <c r="F181" s="11">
        <f>IF(B181="","",IFERROR(VLOOKUP(B181,Catalogo!$A:$F,6,FALSE),0))</f>
        <v/>
      </c>
      <c r="G181" s="11">
        <f>IF(B181="","",E181*F181)</f>
        <v/>
      </c>
      <c r="H181" s="3" t="n"/>
    </row>
    <row r="182">
      <c r="A182" s="3" t="n"/>
      <c r="B182" s="3" t="n"/>
      <c r="C182" s="10">
        <f>IF(B182="","",IFERROR(VLOOKUP(B182,Catalogo!$A:$F,2,FALSE),"CODIGO NO ENCONTRADO"))</f>
        <v/>
      </c>
      <c r="D182" s="10">
        <f>IF(B182="","",IFERROR(VLOOKUP(B182,Catalogo!$A:$F,4,FALSE),""))</f>
        <v/>
      </c>
      <c r="E182" s="3" t="n"/>
      <c r="F182" s="11">
        <f>IF(B182="","",IFERROR(VLOOKUP(B182,Catalogo!$A:$F,6,FALSE),0))</f>
        <v/>
      </c>
      <c r="G182" s="11">
        <f>IF(B182="","",E182*F182)</f>
        <v/>
      </c>
      <c r="H182" s="3" t="n"/>
    </row>
    <row r="183">
      <c r="A183" s="3" t="n"/>
      <c r="B183" s="3" t="n"/>
      <c r="C183" s="10">
        <f>IF(B183="","",IFERROR(VLOOKUP(B183,Catalogo!$A:$F,2,FALSE),"CODIGO NO ENCONTRADO"))</f>
        <v/>
      </c>
      <c r="D183" s="10">
        <f>IF(B183="","",IFERROR(VLOOKUP(B183,Catalogo!$A:$F,4,FALSE),""))</f>
        <v/>
      </c>
      <c r="E183" s="3" t="n"/>
      <c r="F183" s="11">
        <f>IF(B183="","",IFERROR(VLOOKUP(B183,Catalogo!$A:$F,6,FALSE),0))</f>
        <v/>
      </c>
      <c r="G183" s="11">
        <f>IF(B183="","",E183*F183)</f>
        <v/>
      </c>
      <c r="H183" s="3" t="n"/>
    </row>
    <row r="184">
      <c r="A184" s="3" t="n"/>
      <c r="B184" s="3" t="n"/>
      <c r="C184" s="10">
        <f>IF(B184="","",IFERROR(VLOOKUP(B184,Catalogo!$A:$F,2,FALSE),"CODIGO NO ENCONTRADO"))</f>
        <v/>
      </c>
      <c r="D184" s="10">
        <f>IF(B184="","",IFERROR(VLOOKUP(B184,Catalogo!$A:$F,4,FALSE),""))</f>
        <v/>
      </c>
      <c r="E184" s="3" t="n"/>
      <c r="F184" s="11">
        <f>IF(B184="","",IFERROR(VLOOKUP(B184,Catalogo!$A:$F,6,FALSE),0))</f>
        <v/>
      </c>
      <c r="G184" s="11">
        <f>IF(B184="","",E184*F184)</f>
        <v/>
      </c>
      <c r="H184" s="3" t="n"/>
    </row>
    <row r="185">
      <c r="A185" s="3" t="n"/>
      <c r="B185" s="3" t="n"/>
      <c r="C185" s="10">
        <f>IF(B185="","",IFERROR(VLOOKUP(B185,Catalogo!$A:$F,2,FALSE),"CODIGO NO ENCONTRADO"))</f>
        <v/>
      </c>
      <c r="D185" s="10">
        <f>IF(B185="","",IFERROR(VLOOKUP(B185,Catalogo!$A:$F,4,FALSE),""))</f>
        <v/>
      </c>
      <c r="E185" s="3" t="n"/>
      <c r="F185" s="11">
        <f>IF(B185="","",IFERROR(VLOOKUP(B185,Catalogo!$A:$F,6,FALSE),0))</f>
        <v/>
      </c>
      <c r="G185" s="11">
        <f>IF(B185="","",E185*F185)</f>
        <v/>
      </c>
      <c r="H185" s="3" t="n"/>
    </row>
    <row r="186">
      <c r="A186" s="3" t="n"/>
      <c r="B186" s="3" t="n"/>
      <c r="C186" s="10">
        <f>IF(B186="","",IFERROR(VLOOKUP(B186,Catalogo!$A:$F,2,FALSE),"CODIGO NO ENCONTRADO"))</f>
        <v/>
      </c>
      <c r="D186" s="10">
        <f>IF(B186="","",IFERROR(VLOOKUP(B186,Catalogo!$A:$F,4,FALSE),""))</f>
        <v/>
      </c>
      <c r="E186" s="3" t="n"/>
      <c r="F186" s="11">
        <f>IF(B186="","",IFERROR(VLOOKUP(B186,Catalogo!$A:$F,6,FALSE),0))</f>
        <v/>
      </c>
      <c r="G186" s="11">
        <f>IF(B186="","",E186*F186)</f>
        <v/>
      </c>
      <c r="H186" s="3" t="n"/>
    </row>
    <row r="187">
      <c r="A187" s="3" t="n"/>
      <c r="B187" s="3" t="n"/>
      <c r="C187" s="10">
        <f>IF(B187="","",IFERROR(VLOOKUP(B187,Catalogo!$A:$F,2,FALSE),"CODIGO NO ENCONTRADO"))</f>
        <v/>
      </c>
      <c r="D187" s="10">
        <f>IF(B187="","",IFERROR(VLOOKUP(B187,Catalogo!$A:$F,4,FALSE),""))</f>
        <v/>
      </c>
      <c r="E187" s="3" t="n"/>
      <c r="F187" s="11">
        <f>IF(B187="","",IFERROR(VLOOKUP(B187,Catalogo!$A:$F,6,FALSE),0))</f>
        <v/>
      </c>
      <c r="G187" s="11">
        <f>IF(B187="","",E187*F187)</f>
        <v/>
      </c>
      <c r="H187" s="3" t="n"/>
    </row>
    <row r="188">
      <c r="A188" s="3" t="n"/>
      <c r="B188" s="3" t="n"/>
      <c r="C188" s="10">
        <f>IF(B188="","",IFERROR(VLOOKUP(B188,Catalogo!$A:$F,2,FALSE),"CODIGO NO ENCONTRADO"))</f>
        <v/>
      </c>
      <c r="D188" s="10">
        <f>IF(B188="","",IFERROR(VLOOKUP(B188,Catalogo!$A:$F,4,FALSE),""))</f>
        <v/>
      </c>
      <c r="E188" s="3" t="n"/>
      <c r="F188" s="11">
        <f>IF(B188="","",IFERROR(VLOOKUP(B188,Catalogo!$A:$F,6,FALSE),0))</f>
        <v/>
      </c>
      <c r="G188" s="11">
        <f>IF(B188="","",E188*F188)</f>
        <v/>
      </c>
      <c r="H188" s="3" t="n"/>
    </row>
    <row r="189">
      <c r="A189" s="3" t="n"/>
      <c r="B189" s="3" t="n"/>
      <c r="C189" s="10">
        <f>IF(B189="","",IFERROR(VLOOKUP(B189,Catalogo!$A:$F,2,FALSE),"CODIGO NO ENCONTRADO"))</f>
        <v/>
      </c>
      <c r="D189" s="10">
        <f>IF(B189="","",IFERROR(VLOOKUP(B189,Catalogo!$A:$F,4,FALSE),""))</f>
        <v/>
      </c>
      <c r="E189" s="3" t="n"/>
      <c r="F189" s="11">
        <f>IF(B189="","",IFERROR(VLOOKUP(B189,Catalogo!$A:$F,6,FALSE),0))</f>
        <v/>
      </c>
      <c r="G189" s="11">
        <f>IF(B189="","",E189*F189)</f>
        <v/>
      </c>
      <c r="H189" s="3" t="n"/>
    </row>
    <row r="190">
      <c r="A190" s="3" t="n"/>
      <c r="B190" s="3" t="n"/>
      <c r="C190" s="10">
        <f>IF(B190="","",IFERROR(VLOOKUP(B190,Catalogo!$A:$F,2,FALSE),"CODIGO NO ENCONTRADO"))</f>
        <v/>
      </c>
      <c r="D190" s="10">
        <f>IF(B190="","",IFERROR(VLOOKUP(B190,Catalogo!$A:$F,4,FALSE),""))</f>
        <v/>
      </c>
      <c r="E190" s="3" t="n"/>
      <c r="F190" s="11">
        <f>IF(B190="","",IFERROR(VLOOKUP(B190,Catalogo!$A:$F,6,FALSE),0))</f>
        <v/>
      </c>
      <c r="G190" s="11">
        <f>IF(B190="","",E190*F190)</f>
        <v/>
      </c>
      <c r="H190" s="3" t="n"/>
    </row>
    <row r="191">
      <c r="A191" s="3" t="n"/>
      <c r="B191" s="3" t="n"/>
      <c r="C191" s="10">
        <f>IF(B191="","",IFERROR(VLOOKUP(B191,Catalogo!$A:$F,2,FALSE),"CODIGO NO ENCONTRADO"))</f>
        <v/>
      </c>
      <c r="D191" s="10">
        <f>IF(B191="","",IFERROR(VLOOKUP(B191,Catalogo!$A:$F,4,FALSE),""))</f>
        <v/>
      </c>
      <c r="E191" s="3" t="n"/>
      <c r="F191" s="11">
        <f>IF(B191="","",IFERROR(VLOOKUP(B191,Catalogo!$A:$F,6,FALSE),0))</f>
        <v/>
      </c>
      <c r="G191" s="11">
        <f>IF(B191="","",E191*F191)</f>
        <v/>
      </c>
      <c r="H191" s="3" t="n"/>
    </row>
    <row r="192">
      <c r="A192" s="3" t="n"/>
      <c r="B192" s="3" t="n"/>
      <c r="C192" s="10">
        <f>IF(B192="","",IFERROR(VLOOKUP(B192,Catalogo!$A:$F,2,FALSE),"CODIGO NO ENCONTRADO"))</f>
        <v/>
      </c>
      <c r="D192" s="10">
        <f>IF(B192="","",IFERROR(VLOOKUP(B192,Catalogo!$A:$F,4,FALSE),""))</f>
        <v/>
      </c>
      <c r="E192" s="3" t="n"/>
      <c r="F192" s="11">
        <f>IF(B192="","",IFERROR(VLOOKUP(B192,Catalogo!$A:$F,6,FALSE),0))</f>
        <v/>
      </c>
      <c r="G192" s="11">
        <f>IF(B192="","",E192*F192)</f>
        <v/>
      </c>
      <c r="H192" s="3" t="n"/>
    </row>
    <row r="193">
      <c r="A193" s="3" t="n"/>
      <c r="B193" s="3" t="n"/>
      <c r="C193" s="10">
        <f>IF(B193="","",IFERROR(VLOOKUP(B193,Catalogo!$A:$F,2,FALSE),"CODIGO NO ENCONTRADO"))</f>
        <v/>
      </c>
      <c r="D193" s="10">
        <f>IF(B193="","",IFERROR(VLOOKUP(B193,Catalogo!$A:$F,4,FALSE),""))</f>
        <v/>
      </c>
      <c r="E193" s="3" t="n"/>
      <c r="F193" s="11">
        <f>IF(B193="","",IFERROR(VLOOKUP(B193,Catalogo!$A:$F,6,FALSE),0))</f>
        <v/>
      </c>
      <c r="G193" s="11">
        <f>IF(B193="","",E193*F193)</f>
        <v/>
      </c>
      <c r="H193" s="3" t="n"/>
    </row>
    <row r="194">
      <c r="A194" s="3" t="n"/>
      <c r="B194" s="3" t="n"/>
      <c r="C194" s="10">
        <f>IF(B194="","",IFERROR(VLOOKUP(B194,Catalogo!$A:$F,2,FALSE),"CODIGO NO ENCONTRADO"))</f>
        <v/>
      </c>
      <c r="D194" s="10">
        <f>IF(B194="","",IFERROR(VLOOKUP(B194,Catalogo!$A:$F,4,FALSE),""))</f>
        <v/>
      </c>
      <c r="E194" s="3" t="n"/>
      <c r="F194" s="11">
        <f>IF(B194="","",IFERROR(VLOOKUP(B194,Catalogo!$A:$F,6,FALSE),0))</f>
        <v/>
      </c>
      <c r="G194" s="11">
        <f>IF(B194="","",E194*F194)</f>
        <v/>
      </c>
      <c r="H194" s="3" t="n"/>
    </row>
    <row r="195">
      <c r="A195" s="3" t="n"/>
      <c r="B195" s="3" t="n"/>
      <c r="C195" s="10">
        <f>IF(B195="","",IFERROR(VLOOKUP(B195,Catalogo!$A:$F,2,FALSE),"CODIGO NO ENCONTRADO"))</f>
        <v/>
      </c>
      <c r="D195" s="10">
        <f>IF(B195="","",IFERROR(VLOOKUP(B195,Catalogo!$A:$F,4,FALSE),""))</f>
        <v/>
      </c>
      <c r="E195" s="3" t="n"/>
      <c r="F195" s="11">
        <f>IF(B195="","",IFERROR(VLOOKUP(B195,Catalogo!$A:$F,6,FALSE),0))</f>
        <v/>
      </c>
      <c r="G195" s="11">
        <f>IF(B195="","",E195*F195)</f>
        <v/>
      </c>
      <c r="H195" s="3" t="n"/>
    </row>
    <row r="196">
      <c r="A196" s="3" t="n"/>
      <c r="B196" s="3" t="n"/>
      <c r="C196" s="10">
        <f>IF(B196="","",IFERROR(VLOOKUP(B196,Catalogo!$A:$F,2,FALSE),"CODIGO NO ENCONTRADO"))</f>
        <v/>
      </c>
      <c r="D196" s="10">
        <f>IF(B196="","",IFERROR(VLOOKUP(B196,Catalogo!$A:$F,4,FALSE),""))</f>
        <v/>
      </c>
      <c r="E196" s="3" t="n"/>
      <c r="F196" s="11">
        <f>IF(B196="","",IFERROR(VLOOKUP(B196,Catalogo!$A:$F,6,FALSE),0))</f>
        <v/>
      </c>
      <c r="G196" s="11">
        <f>IF(B196="","",E196*F196)</f>
        <v/>
      </c>
      <c r="H196" s="3" t="n"/>
    </row>
    <row r="197">
      <c r="A197" s="3" t="n"/>
      <c r="B197" s="3" t="n"/>
      <c r="C197" s="10">
        <f>IF(B197="","",IFERROR(VLOOKUP(B197,Catalogo!$A:$F,2,FALSE),"CODIGO NO ENCONTRADO"))</f>
        <v/>
      </c>
      <c r="D197" s="10">
        <f>IF(B197="","",IFERROR(VLOOKUP(B197,Catalogo!$A:$F,4,FALSE),""))</f>
        <v/>
      </c>
      <c r="E197" s="3" t="n"/>
      <c r="F197" s="11">
        <f>IF(B197="","",IFERROR(VLOOKUP(B197,Catalogo!$A:$F,6,FALSE),0))</f>
        <v/>
      </c>
      <c r="G197" s="11">
        <f>IF(B197="","",E197*F197)</f>
        <v/>
      </c>
      <c r="H197" s="3" t="n"/>
    </row>
    <row r="198">
      <c r="A198" s="3" t="n"/>
      <c r="B198" s="3" t="n"/>
      <c r="C198" s="10">
        <f>IF(B198="","",IFERROR(VLOOKUP(B198,Catalogo!$A:$F,2,FALSE),"CODIGO NO ENCONTRADO"))</f>
        <v/>
      </c>
      <c r="D198" s="10">
        <f>IF(B198="","",IFERROR(VLOOKUP(B198,Catalogo!$A:$F,4,FALSE),""))</f>
        <v/>
      </c>
      <c r="E198" s="3" t="n"/>
      <c r="F198" s="11">
        <f>IF(B198="","",IFERROR(VLOOKUP(B198,Catalogo!$A:$F,6,FALSE),0))</f>
        <v/>
      </c>
      <c r="G198" s="11">
        <f>IF(B198="","",E198*F198)</f>
        <v/>
      </c>
      <c r="H198" s="3" t="n"/>
    </row>
    <row r="199">
      <c r="A199" s="3" t="n"/>
      <c r="B199" s="3" t="n"/>
      <c r="C199" s="10">
        <f>IF(B199="","",IFERROR(VLOOKUP(B199,Catalogo!$A:$F,2,FALSE),"CODIGO NO ENCONTRADO"))</f>
        <v/>
      </c>
      <c r="D199" s="10">
        <f>IF(B199="","",IFERROR(VLOOKUP(B199,Catalogo!$A:$F,4,FALSE),""))</f>
        <v/>
      </c>
      <c r="E199" s="3" t="n"/>
      <c r="F199" s="11">
        <f>IF(B199="","",IFERROR(VLOOKUP(B199,Catalogo!$A:$F,6,FALSE),0))</f>
        <v/>
      </c>
      <c r="G199" s="11">
        <f>IF(B199="","",E199*F199)</f>
        <v/>
      </c>
      <c r="H199" s="3" t="n"/>
    </row>
    <row r="200">
      <c r="A200" s="3" t="n"/>
      <c r="B200" s="3" t="n"/>
      <c r="C200" s="10">
        <f>IF(B200="","",IFERROR(VLOOKUP(B200,Catalogo!$A:$F,2,FALSE),"CODIGO NO ENCONTRADO"))</f>
        <v/>
      </c>
      <c r="D200" s="10">
        <f>IF(B200="","",IFERROR(VLOOKUP(B200,Catalogo!$A:$F,4,FALSE),""))</f>
        <v/>
      </c>
      <c r="E200" s="3" t="n"/>
      <c r="F200" s="11">
        <f>IF(B200="","",IFERROR(VLOOKUP(B200,Catalogo!$A:$F,6,FALSE),0))</f>
        <v/>
      </c>
      <c r="G200" s="11">
        <f>IF(B200="","",E200*F200)</f>
        <v/>
      </c>
      <c r="H200" s="3" t="n"/>
    </row>
    <row r="201">
      <c r="A201" s="3" t="n"/>
      <c r="B201" s="3" t="n"/>
      <c r="C201" s="10">
        <f>IF(B201="","",IFERROR(VLOOKUP(B201,Catalogo!$A:$F,2,FALSE),"CODIGO NO ENCONTRADO"))</f>
        <v/>
      </c>
      <c r="D201" s="10">
        <f>IF(B201="","",IFERROR(VLOOKUP(B201,Catalogo!$A:$F,4,FALSE),""))</f>
        <v/>
      </c>
      <c r="E201" s="3" t="n"/>
      <c r="F201" s="11">
        <f>IF(B201="","",IFERROR(VLOOKUP(B201,Catalogo!$A:$F,6,FALSE),0))</f>
        <v/>
      </c>
      <c r="G201" s="11">
        <f>IF(B201="","",E201*F201)</f>
        <v/>
      </c>
      <c r="H201" s="3" t="n"/>
    </row>
    <row r="202">
      <c r="A202" s="3" t="n"/>
      <c r="B202" s="3" t="n"/>
      <c r="C202" s="10">
        <f>IF(B202="","",IFERROR(VLOOKUP(B202,Catalogo!$A:$F,2,FALSE),"CODIGO NO ENCONTRADO"))</f>
        <v/>
      </c>
      <c r="D202" s="10">
        <f>IF(B202="","",IFERROR(VLOOKUP(B202,Catalogo!$A:$F,4,FALSE),""))</f>
        <v/>
      </c>
      <c r="E202" s="3" t="n"/>
      <c r="F202" s="11">
        <f>IF(B202="","",IFERROR(VLOOKUP(B202,Catalogo!$A:$F,6,FALSE),0))</f>
        <v/>
      </c>
      <c r="G202" s="11">
        <f>IF(B202="","",E202*F202)</f>
        <v/>
      </c>
      <c r="H202" s="3" t="n"/>
    </row>
    <row r="203">
      <c r="A203" s="3" t="n"/>
      <c r="B203" s="3" t="n"/>
      <c r="C203" s="10">
        <f>IF(B203="","",IFERROR(VLOOKUP(B203,Catalogo!$A:$F,2,FALSE),"CODIGO NO ENCONTRADO"))</f>
        <v/>
      </c>
      <c r="D203" s="10">
        <f>IF(B203="","",IFERROR(VLOOKUP(B203,Catalogo!$A:$F,4,FALSE),""))</f>
        <v/>
      </c>
      <c r="E203" s="3" t="n"/>
      <c r="F203" s="11">
        <f>IF(B203="","",IFERROR(VLOOKUP(B203,Catalogo!$A:$F,6,FALSE),0))</f>
        <v/>
      </c>
      <c r="G203" s="11">
        <f>IF(B203="","",E203*F203)</f>
        <v/>
      </c>
      <c r="H203" s="3" t="n"/>
    </row>
    <row r="204">
      <c r="A204" s="3" t="n"/>
      <c r="B204" s="3" t="n"/>
      <c r="C204" s="10">
        <f>IF(B204="","",IFERROR(VLOOKUP(B204,Catalogo!$A:$F,2,FALSE),"CODIGO NO ENCONTRADO"))</f>
        <v/>
      </c>
      <c r="D204" s="10">
        <f>IF(B204="","",IFERROR(VLOOKUP(B204,Catalogo!$A:$F,4,FALSE),""))</f>
        <v/>
      </c>
      <c r="E204" s="3" t="n"/>
      <c r="F204" s="11">
        <f>IF(B204="","",IFERROR(VLOOKUP(B204,Catalogo!$A:$F,6,FALSE),0))</f>
        <v/>
      </c>
      <c r="G204" s="11">
        <f>IF(B204="","",E204*F204)</f>
        <v/>
      </c>
      <c r="H204" s="3" t="n"/>
    </row>
    <row r="205">
      <c r="A205" s="3" t="n"/>
      <c r="B205" s="3" t="n"/>
      <c r="C205" s="10">
        <f>IF(B205="","",IFERROR(VLOOKUP(B205,Catalogo!$A:$F,2,FALSE),"CODIGO NO ENCONTRADO"))</f>
        <v/>
      </c>
      <c r="D205" s="10">
        <f>IF(B205="","",IFERROR(VLOOKUP(B205,Catalogo!$A:$F,4,FALSE),""))</f>
        <v/>
      </c>
      <c r="E205" s="3" t="n"/>
      <c r="F205" s="11">
        <f>IF(B205="","",IFERROR(VLOOKUP(B205,Catalogo!$A:$F,6,FALSE),0))</f>
        <v/>
      </c>
      <c r="G205" s="11">
        <f>IF(B205="","",E205*F205)</f>
        <v/>
      </c>
      <c r="H205" s="3" t="n"/>
    </row>
    <row r="206">
      <c r="A206" s="3" t="n"/>
      <c r="B206" s="3" t="n"/>
      <c r="C206" s="10">
        <f>IF(B206="","",IFERROR(VLOOKUP(B206,Catalogo!$A:$F,2,FALSE),"CODIGO NO ENCONTRADO"))</f>
        <v/>
      </c>
      <c r="D206" s="10">
        <f>IF(B206="","",IFERROR(VLOOKUP(B206,Catalogo!$A:$F,4,FALSE),""))</f>
        <v/>
      </c>
      <c r="E206" s="3" t="n"/>
      <c r="F206" s="11">
        <f>IF(B206="","",IFERROR(VLOOKUP(B206,Catalogo!$A:$F,6,FALSE),0))</f>
        <v/>
      </c>
      <c r="G206" s="11">
        <f>IF(B206="","",E206*F206)</f>
        <v/>
      </c>
      <c r="H206" s="3" t="n"/>
    </row>
    <row r="207">
      <c r="A207" s="3" t="n"/>
      <c r="B207" s="3" t="n"/>
      <c r="C207" s="10">
        <f>IF(B207="","",IFERROR(VLOOKUP(B207,Catalogo!$A:$F,2,FALSE),"CODIGO NO ENCONTRADO"))</f>
        <v/>
      </c>
      <c r="D207" s="10">
        <f>IF(B207="","",IFERROR(VLOOKUP(B207,Catalogo!$A:$F,4,FALSE),""))</f>
        <v/>
      </c>
      <c r="E207" s="3" t="n"/>
      <c r="F207" s="11">
        <f>IF(B207="","",IFERROR(VLOOKUP(B207,Catalogo!$A:$F,6,FALSE),0))</f>
        <v/>
      </c>
      <c r="G207" s="11">
        <f>IF(B207="","",E207*F207)</f>
        <v/>
      </c>
      <c r="H207" s="3" t="n"/>
    </row>
    <row r="208">
      <c r="A208" s="3" t="n"/>
      <c r="B208" s="3" t="n"/>
      <c r="C208" s="10">
        <f>IF(B208="","",IFERROR(VLOOKUP(B208,Catalogo!$A:$F,2,FALSE),"CODIGO NO ENCONTRADO"))</f>
        <v/>
      </c>
      <c r="D208" s="10">
        <f>IF(B208="","",IFERROR(VLOOKUP(B208,Catalogo!$A:$F,4,FALSE),""))</f>
        <v/>
      </c>
      <c r="E208" s="3" t="n"/>
      <c r="F208" s="11">
        <f>IF(B208="","",IFERROR(VLOOKUP(B208,Catalogo!$A:$F,6,FALSE),0))</f>
        <v/>
      </c>
      <c r="G208" s="11">
        <f>IF(B208="","",E208*F208)</f>
        <v/>
      </c>
      <c r="H208" s="3" t="n"/>
    </row>
    <row r="209">
      <c r="A209" s="3" t="n"/>
      <c r="B209" s="3" t="n"/>
      <c r="C209" s="10">
        <f>IF(B209="","",IFERROR(VLOOKUP(B209,Catalogo!$A:$F,2,FALSE),"CODIGO NO ENCONTRADO"))</f>
        <v/>
      </c>
      <c r="D209" s="10">
        <f>IF(B209="","",IFERROR(VLOOKUP(B209,Catalogo!$A:$F,4,FALSE),""))</f>
        <v/>
      </c>
      <c r="E209" s="3" t="n"/>
      <c r="F209" s="11">
        <f>IF(B209="","",IFERROR(VLOOKUP(B209,Catalogo!$A:$F,6,FALSE),0))</f>
        <v/>
      </c>
      <c r="G209" s="11">
        <f>IF(B209="","",E209*F209)</f>
        <v/>
      </c>
      <c r="H209" s="3" t="n"/>
    </row>
    <row r="210">
      <c r="A210" s="3" t="n"/>
      <c r="B210" s="3" t="n"/>
      <c r="C210" s="10">
        <f>IF(B210="","",IFERROR(VLOOKUP(B210,Catalogo!$A:$F,2,FALSE),"CODIGO NO ENCONTRADO"))</f>
        <v/>
      </c>
      <c r="D210" s="10">
        <f>IF(B210="","",IFERROR(VLOOKUP(B210,Catalogo!$A:$F,4,FALSE),""))</f>
        <v/>
      </c>
      <c r="E210" s="3" t="n"/>
      <c r="F210" s="11">
        <f>IF(B210="","",IFERROR(VLOOKUP(B210,Catalogo!$A:$F,6,FALSE),0))</f>
        <v/>
      </c>
      <c r="G210" s="11">
        <f>IF(B210="","",E210*F210)</f>
        <v/>
      </c>
      <c r="H210" s="3" t="n"/>
    </row>
    <row r="211">
      <c r="A211" s="3" t="n"/>
      <c r="B211" s="3" t="n"/>
      <c r="C211" s="10">
        <f>IF(B211="","",IFERROR(VLOOKUP(B211,Catalogo!$A:$F,2,FALSE),"CODIGO NO ENCONTRADO"))</f>
        <v/>
      </c>
      <c r="D211" s="10">
        <f>IF(B211="","",IFERROR(VLOOKUP(B211,Catalogo!$A:$F,4,FALSE),""))</f>
        <v/>
      </c>
      <c r="E211" s="3" t="n"/>
      <c r="F211" s="11">
        <f>IF(B211="","",IFERROR(VLOOKUP(B211,Catalogo!$A:$F,6,FALSE),0))</f>
        <v/>
      </c>
      <c r="G211" s="11">
        <f>IF(B211="","",E211*F211)</f>
        <v/>
      </c>
      <c r="H211" s="3" t="n"/>
    </row>
    <row r="212">
      <c r="A212" s="3" t="n"/>
      <c r="B212" s="3" t="n"/>
      <c r="C212" s="10">
        <f>IF(B212="","",IFERROR(VLOOKUP(B212,Catalogo!$A:$F,2,FALSE),"CODIGO NO ENCONTRADO"))</f>
        <v/>
      </c>
      <c r="D212" s="10">
        <f>IF(B212="","",IFERROR(VLOOKUP(B212,Catalogo!$A:$F,4,FALSE),""))</f>
        <v/>
      </c>
      <c r="E212" s="3" t="n"/>
      <c r="F212" s="11">
        <f>IF(B212="","",IFERROR(VLOOKUP(B212,Catalogo!$A:$F,6,FALSE),0))</f>
        <v/>
      </c>
      <c r="G212" s="11">
        <f>IF(B212="","",E212*F212)</f>
        <v/>
      </c>
      <c r="H212" s="3" t="n"/>
    </row>
    <row r="213">
      <c r="A213" s="3" t="n"/>
      <c r="B213" s="3" t="n"/>
      <c r="C213" s="10">
        <f>IF(B213="","",IFERROR(VLOOKUP(B213,Catalogo!$A:$F,2,FALSE),"CODIGO NO ENCONTRADO"))</f>
        <v/>
      </c>
      <c r="D213" s="10">
        <f>IF(B213="","",IFERROR(VLOOKUP(B213,Catalogo!$A:$F,4,FALSE),""))</f>
        <v/>
      </c>
      <c r="E213" s="3" t="n"/>
      <c r="F213" s="11">
        <f>IF(B213="","",IFERROR(VLOOKUP(B213,Catalogo!$A:$F,6,FALSE),0))</f>
        <v/>
      </c>
      <c r="G213" s="11">
        <f>IF(B213="","",E213*F213)</f>
        <v/>
      </c>
      <c r="H213" s="3" t="n"/>
    </row>
    <row r="214">
      <c r="A214" s="3" t="n"/>
      <c r="B214" s="3" t="n"/>
      <c r="C214" s="10">
        <f>IF(B214="","",IFERROR(VLOOKUP(B214,Catalogo!$A:$F,2,FALSE),"CODIGO NO ENCONTRADO"))</f>
        <v/>
      </c>
      <c r="D214" s="10">
        <f>IF(B214="","",IFERROR(VLOOKUP(B214,Catalogo!$A:$F,4,FALSE),""))</f>
        <v/>
      </c>
      <c r="E214" s="3" t="n"/>
      <c r="F214" s="11">
        <f>IF(B214="","",IFERROR(VLOOKUP(B214,Catalogo!$A:$F,6,FALSE),0))</f>
        <v/>
      </c>
      <c r="G214" s="11">
        <f>IF(B214="","",E214*F214)</f>
        <v/>
      </c>
      <c r="H214" s="3" t="n"/>
    </row>
    <row r="215">
      <c r="A215" s="3" t="n"/>
      <c r="B215" s="3" t="n"/>
      <c r="C215" s="10">
        <f>IF(B215="","",IFERROR(VLOOKUP(B215,Catalogo!$A:$F,2,FALSE),"CODIGO NO ENCONTRADO"))</f>
        <v/>
      </c>
      <c r="D215" s="10">
        <f>IF(B215="","",IFERROR(VLOOKUP(B215,Catalogo!$A:$F,4,FALSE),""))</f>
        <v/>
      </c>
      <c r="E215" s="3" t="n"/>
      <c r="F215" s="11">
        <f>IF(B215="","",IFERROR(VLOOKUP(B215,Catalogo!$A:$F,6,FALSE),0))</f>
        <v/>
      </c>
      <c r="G215" s="11">
        <f>IF(B215="","",E215*F215)</f>
        <v/>
      </c>
      <c r="H215" s="3" t="n"/>
    </row>
    <row r="216">
      <c r="A216" s="3" t="n"/>
      <c r="B216" s="3" t="n"/>
      <c r="C216" s="10">
        <f>IF(B216="","",IFERROR(VLOOKUP(B216,Catalogo!$A:$F,2,FALSE),"CODIGO NO ENCONTRADO"))</f>
        <v/>
      </c>
      <c r="D216" s="10">
        <f>IF(B216="","",IFERROR(VLOOKUP(B216,Catalogo!$A:$F,4,FALSE),""))</f>
        <v/>
      </c>
      <c r="E216" s="3" t="n"/>
      <c r="F216" s="11">
        <f>IF(B216="","",IFERROR(VLOOKUP(B216,Catalogo!$A:$F,6,FALSE),0))</f>
        <v/>
      </c>
      <c r="G216" s="11">
        <f>IF(B216="","",E216*F216)</f>
        <v/>
      </c>
      <c r="H216" s="3" t="n"/>
    </row>
    <row r="217">
      <c r="A217" s="3" t="n"/>
      <c r="B217" s="3" t="n"/>
      <c r="C217" s="10">
        <f>IF(B217="","",IFERROR(VLOOKUP(B217,Catalogo!$A:$F,2,FALSE),"CODIGO NO ENCONTRADO"))</f>
        <v/>
      </c>
      <c r="D217" s="10">
        <f>IF(B217="","",IFERROR(VLOOKUP(B217,Catalogo!$A:$F,4,FALSE),""))</f>
        <v/>
      </c>
      <c r="E217" s="3" t="n"/>
      <c r="F217" s="11">
        <f>IF(B217="","",IFERROR(VLOOKUP(B217,Catalogo!$A:$F,6,FALSE),0))</f>
        <v/>
      </c>
      <c r="G217" s="11">
        <f>IF(B217="","",E217*F217)</f>
        <v/>
      </c>
      <c r="H217" s="3" t="n"/>
    </row>
    <row r="218">
      <c r="A218" s="3" t="n"/>
      <c r="B218" s="3" t="n"/>
      <c r="C218" s="10">
        <f>IF(B218="","",IFERROR(VLOOKUP(B218,Catalogo!$A:$F,2,FALSE),"CODIGO NO ENCONTRADO"))</f>
        <v/>
      </c>
      <c r="D218" s="10">
        <f>IF(B218="","",IFERROR(VLOOKUP(B218,Catalogo!$A:$F,4,FALSE),""))</f>
        <v/>
      </c>
      <c r="E218" s="3" t="n"/>
      <c r="F218" s="11">
        <f>IF(B218="","",IFERROR(VLOOKUP(B218,Catalogo!$A:$F,6,FALSE),0))</f>
        <v/>
      </c>
      <c r="G218" s="11">
        <f>IF(B218="","",E218*F218)</f>
        <v/>
      </c>
      <c r="H218" s="3" t="n"/>
    </row>
    <row r="219">
      <c r="A219" s="3" t="n"/>
      <c r="B219" s="3" t="n"/>
      <c r="C219" s="10">
        <f>IF(B219="","",IFERROR(VLOOKUP(B219,Catalogo!$A:$F,2,FALSE),"CODIGO NO ENCONTRADO"))</f>
        <v/>
      </c>
      <c r="D219" s="10">
        <f>IF(B219="","",IFERROR(VLOOKUP(B219,Catalogo!$A:$F,4,FALSE),""))</f>
        <v/>
      </c>
      <c r="E219" s="3" t="n"/>
      <c r="F219" s="11">
        <f>IF(B219="","",IFERROR(VLOOKUP(B219,Catalogo!$A:$F,6,FALSE),0))</f>
        <v/>
      </c>
      <c r="G219" s="11">
        <f>IF(B219="","",E219*F219)</f>
        <v/>
      </c>
      <c r="H219" s="3" t="n"/>
    </row>
    <row r="220">
      <c r="A220" s="3" t="n"/>
      <c r="B220" s="3" t="n"/>
      <c r="C220" s="10">
        <f>IF(B220="","",IFERROR(VLOOKUP(B220,Catalogo!$A:$F,2,FALSE),"CODIGO NO ENCONTRADO"))</f>
        <v/>
      </c>
      <c r="D220" s="10">
        <f>IF(B220="","",IFERROR(VLOOKUP(B220,Catalogo!$A:$F,4,FALSE),""))</f>
        <v/>
      </c>
      <c r="E220" s="3" t="n"/>
      <c r="F220" s="11">
        <f>IF(B220="","",IFERROR(VLOOKUP(B220,Catalogo!$A:$F,6,FALSE),0))</f>
        <v/>
      </c>
      <c r="G220" s="11">
        <f>IF(B220="","",E220*F220)</f>
        <v/>
      </c>
      <c r="H220" s="3" t="n"/>
    </row>
    <row r="221">
      <c r="A221" s="3" t="n"/>
      <c r="B221" s="3" t="n"/>
      <c r="C221" s="10">
        <f>IF(B221="","",IFERROR(VLOOKUP(B221,Catalogo!$A:$F,2,FALSE),"CODIGO NO ENCONTRADO"))</f>
        <v/>
      </c>
      <c r="D221" s="10">
        <f>IF(B221="","",IFERROR(VLOOKUP(B221,Catalogo!$A:$F,4,FALSE),""))</f>
        <v/>
      </c>
      <c r="E221" s="3" t="n"/>
      <c r="F221" s="11">
        <f>IF(B221="","",IFERROR(VLOOKUP(B221,Catalogo!$A:$F,6,FALSE),0))</f>
        <v/>
      </c>
      <c r="G221" s="11">
        <f>IF(B221="","",E221*F221)</f>
        <v/>
      </c>
      <c r="H221" s="3" t="n"/>
    </row>
    <row r="222">
      <c r="A222" s="3" t="n"/>
      <c r="B222" s="3" t="n"/>
      <c r="C222" s="10">
        <f>IF(B222="","",IFERROR(VLOOKUP(B222,Catalogo!$A:$F,2,FALSE),"CODIGO NO ENCONTRADO"))</f>
        <v/>
      </c>
      <c r="D222" s="10">
        <f>IF(B222="","",IFERROR(VLOOKUP(B222,Catalogo!$A:$F,4,FALSE),""))</f>
        <v/>
      </c>
      <c r="E222" s="3" t="n"/>
      <c r="F222" s="11">
        <f>IF(B222="","",IFERROR(VLOOKUP(B222,Catalogo!$A:$F,6,FALSE),0))</f>
        <v/>
      </c>
      <c r="G222" s="11">
        <f>IF(B222="","",E222*F222)</f>
        <v/>
      </c>
      <c r="H222" s="3" t="n"/>
    </row>
    <row r="223">
      <c r="A223" s="3" t="n"/>
      <c r="B223" s="3" t="n"/>
      <c r="C223" s="10">
        <f>IF(B223="","",IFERROR(VLOOKUP(B223,Catalogo!$A:$F,2,FALSE),"CODIGO NO ENCONTRADO"))</f>
        <v/>
      </c>
      <c r="D223" s="10">
        <f>IF(B223="","",IFERROR(VLOOKUP(B223,Catalogo!$A:$F,4,FALSE),""))</f>
        <v/>
      </c>
      <c r="E223" s="3" t="n"/>
      <c r="F223" s="11">
        <f>IF(B223="","",IFERROR(VLOOKUP(B223,Catalogo!$A:$F,6,FALSE),0))</f>
        <v/>
      </c>
      <c r="G223" s="11">
        <f>IF(B223="","",E223*F223)</f>
        <v/>
      </c>
      <c r="H223" s="3" t="n"/>
    </row>
    <row r="224">
      <c r="A224" s="3" t="n"/>
      <c r="B224" s="3" t="n"/>
      <c r="C224" s="10">
        <f>IF(B224="","",IFERROR(VLOOKUP(B224,Catalogo!$A:$F,2,FALSE),"CODIGO NO ENCONTRADO"))</f>
        <v/>
      </c>
      <c r="D224" s="10">
        <f>IF(B224="","",IFERROR(VLOOKUP(B224,Catalogo!$A:$F,4,FALSE),""))</f>
        <v/>
      </c>
      <c r="E224" s="3" t="n"/>
      <c r="F224" s="11">
        <f>IF(B224="","",IFERROR(VLOOKUP(B224,Catalogo!$A:$F,6,FALSE),0))</f>
        <v/>
      </c>
      <c r="G224" s="11">
        <f>IF(B224="","",E224*F224)</f>
        <v/>
      </c>
      <c r="H224" s="3" t="n"/>
    </row>
    <row r="225">
      <c r="A225" s="3" t="n"/>
      <c r="B225" s="3" t="n"/>
      <c r="C225" s="10">
        <f>IF(B225="","",IFERROR(VLOOKUP(B225,Catalogo!$A:$F,2,FALSE),"CODIGO NO ENCONTRADO"))</f>
        <v/>
      </c>
      <c r="D225" s="10">
        <f>IF(B225="","",IFERROR(VLOOKUP(B225,Catalogo!$A:$F,4,FALSE),""))</f>
        <v/>
      </c>
      <c r="E225" s="3" t="n"/>
      <c r="F225" s="11">
        <f>IF(B225="","",IFERROR(VLOOKUP(B225,Catalogo!$A:$F,6,FALSE),0))</f>
        <v/>
      </c>
      <c r="G225" s="11">
        <f>IF(B225="","",E225*F225)</f>
        <v/>
      </c>
      <c r="H225" s="3" t="n"/>
    </row>
    <row r="226">
      <c r="A226" s="3" t="n"/>
      <c r="B226" s="3" t="n"/>
      <c r="C226" s="10">
        <f>IF(B226="","",IFERROR(VLOOKUP(B226,Catalogo!$A:$F,2,FALSE),"CODIGO NO ENCONTRADO"))</f>
        <v/>
      </c>
      <c r="D226" s="10">
        <f>IF(B226="","",IFERROR(VLOOKUP(B226,Catalogo!$A:$F,4,FALSE),""))</f>
        <v/>
      </c>
      <c r="E226" s="3" t="n"/>
      <c r="F226" s="11">
        <f>IF(B226="","",IFERROR(VLOOKUP(B226,Catalogo!$A:$F,6,FALSE),0))</f>
        <v/>
      </c>
      <c r="G226" s="11">
        <f>IF(B226="","",E226*F226)</f>
        <v/>
      </c>
      <c r="H226" s="3" t="n"/>
    </row>
    <row r="227">
      <c r="A227" s="3" t="n"/>
      <c r="B227" s="3" t="n"/>
      <c r="C227" s="10">
        <f>IF(B227="","",IFERROR(VLOOKUP(B227,Catalogo!$A:$F,2,FALSE),"CODIGO NO ENCONTRADO"))</f>
        <v/>
      </c>
      <c r="D227" s="10">
        <f>IF(B227="","",IFERROR(VLOOKUP(B227,Catalogo!$A:$F,4,FALSE),""))</f>
        <v/>
      </c>
      <c r="E227" s="3" t="n"/>
      <c r="F227" s="11">
        <f>IF(B227="","",IFERROR(VLOOKUP(B227,Catalogo!$A:$F,6,FALSE),0))</f>
        <v/>
      </c>
      <c r="G227" s="11">
        <f>IF(B227="","",E227*F227)</f>
        <v/>
      </c>
      <c r="H227" s="3" t="n"/>
    </row>
    <row r="228">
      <c r="A228" s="3" t="n"/>
      <c r="B228" s="3" t="n"/>
      <c r="C228" s="10">
        <f>IF(B228="","",IFERROR(VLOOKUP(B228,Catalogo!$A:$F,2,FALSE),"CODIGO NO ENCONTRADO"))</f>
        <v/>
      </c>
      <c r="D228" s="10">
        <f>IF(B228="","",IFERROR(VLOOKUP(B228,Catalogo!$A:$F,4,FALSE),""))</f>
        <v/>
      </c>
      <c r="E228" s="3" t="n"/>
      <c r="F228" s="11">
        <f>IF(B228="","",IFERROR(VLOOKUP(B228,Catalogo!$A:$F,6,FALSE),0))</f>
        <v/>
      </c>
      <c r="G228" s="11">
        <f>IF(B228="","",E228*F228)</f>
        <v/>
      </c>
      <c r="H228" s="3" t="n"/>
    </row>
    <row r="229">
      <c r="A229" s="3" t="n"/>
      <c r="B229" s="3" t="n"/>
      <c r="C229" s="10">
        <f>IF(B229="","",IFERROR(VLOOKUP(B229,Catalogo!$A:$F,2,FALSE),"CODIGO NO ENCONTRADO"))</f>
        <v/>
      </c>
      <c r="D229" s="10">
        <f>IF(B229="","",IFERROR(VLOOKUP(B229,Catalogo!$A:$F,4,FALSE),""))</f>
        <v/>
      </c>
      <c r="E229" s="3" t="n"/>
      <c r="F229" s="11">
        <f>IF(B229="","",IFERROR(VLOOKUP(B229,Catalogo!$A:$F,6,FALSE),0))</f>
        <v/>
      </c>
      <c r="G229" s="11">
        <f>IF(B229="","",E229*F229)</f>
        <v/>
      </c>
      <c r="H229" s="3" t="n"/>
    </row>
    <row r="230">
      <c r="A230" s="3" t="n"/>
      <c r="B230" s="3" t="n"/>
      <c r="C230" s="10">
        <f>IF(B230="","",IFERROR(VLOOKUP(B230,Catalogo!$A:$F,2,FALSE),"CODIGO NO ENCONTRADO"))</f>
        <v/>
      </c>
      <c r="D230" s="10">
        <f>IF(B230="","",IFERROR(VLOOKUP(B230,Catalogo!$A:$F,4,FALSE),""))</f>
        <v/>
      </c>
      <c r="E230" s="3" t="n"/>
      <c r="F230" s="11">
        <f>IF(B230="","",IFERROR(VLOOKUP(B230,Catalogo!$A:$F,6,FALSE),0))</f>
        <v/>
      </c>
      <c r="G230" s="11">
        <f>IF(B230="","",E230*F230)</f>
        <v/>
      </c>
      <c r="H230" s="3" t="n"/>
    </row>
    <row r="231">
      <c r="A231" s="3" t="n"/>
      <c r="B231" s="3" t="n"/>
      <c r="C231" s="10">
        <f>IF(B231="","",IFERROR(VLOOKUP(B231,Catalogo!$A:$F,2,FALSE),"CODIGO NO ENCONTRADO"))</f>
        <v/>
      </c>
      <c r="D231" s="10">
        <f>IF(B231="","",IFERROR(VLOOKUP(B231,Catalogo!$A:$F,4,FALSE),""))</f>
        <v/>
      </c>
      <c r="E231" s="3" t="n"/>
      <c r="F231" s="11">
        <f>IF(B231="","",IFERROR(VLOOKUP(B231,Catalogo!$A:$F,6,FALSE),0))</f>
        <v/>
      </c>
      <c r="G231" s="11">
        <f>IF(B231="","",E231*F231)</f>
        <v/>
      </c>
      <c r="H231" s="3" t="n"/>
    </row>
    <row r="232">
      <c r="A232" s="3" t="n"/>
      <c r="B232" s="3" t="n"/>
      <c r="C232" s="10">
        <f>IF(B232="","",IFERROR(VLOOKUP(B232,Catalogo!$A:$F,2,FALSE),"CODIGO NO ENCONTRADO"))</f>
        <v/>
      </c>
      <c r="D232" s="10">
        <f>IF(B232="","",IFERROR(VLOOKUP(B232,Catalogo!$A:$F,4,FALSE),""))</f>
        <v/>
      </c>
      <c r="E232" s="3" t="n"/>
      <c r="F232" s="11">
        <f>IF(B232="","",IFERROR(VLOOKUP(B232,Catalogo!$A:$F,6,FALSE),0))</f>
        <v/>
      </c>
      <c r="G232" s="11">
        <f>IF(B232="","",E232*F232)</f>
        <v/>
      </c>
      <c r="H232" s="3" t="n"/>
    </row>
    <row r="233">
      <c r="A233" s="3" t="n"/>
      <c r="B233" s="3" t="n"/>
      <c r="C233" s="10">
        <f>IF(B233="","",IFERROR(VLOOKUP(B233,Catalogo!$A:$F,2,FALSE),"CODIGO NO ENCONTRADO"))</f>
        <v/>
      </c>
      <c r="D233" s="10">
        <f>IF(B233="","",IFERROR(VLOOKUP(B233,Catalogo!$A:$F,4,FALSE),""))</f>
        <v/>
      </c>
      <c r="E233" s="3" t="n"/>
      <c r="F233" s="11">
        <f>IF(B233="","",IFERROR(VLOOKUP(B233,Catalogo!$A:$F,6,FALSE),0))</f>
        <v/>
      </c>
      <c r="G233" s="11">
        <f>IF(B233="","",E233*F233)</f>
        <v/>
      </c>
      <c r="H233" s="3" t="n"/>
    </row>
    <row r="234">
      <c r="A234" s="3" t="n"/>
      <c r="B234" s="3" t="n"/>
      <c r="C234" s="10">
        <f>IF(B234="","",IFERROR(VLOOKUP(B234,Catalogo!$A:$F,2,FALSE),"CODIGO NO ENCONTRADO"))</f>
        <v/>
      </c>
      <c r="D234" s="10">
        <f>IF(B234="","",IFERROR(VLOOKUP(B234,Catalogo!$A:$F,4,FALSE),""))</f>
        <v/>
      </c>
      <c r="E234" s="3" t="n"/>
      <c r="F234" s="11">
        <f>IF(B234="","",IFERROR(VLOOKUP(B234,Catalogo!$A:$F,6,FALSE),0))</f>
        <v/>
      </c>
      <c r="G234" s="11">
        <f>IF(B234="","",E234*F234)</f>
        <v/>
      </c>
      <c r="H234" s="3" t="n"/>
    </row>
    <row r="235">
      <c r="A235" s="3" t="n"/>
      <c r="B235" s="3" t="n"/>
      <c r="C235" s="10">
        <f>IF(B235="","",IFERROR(VLOOKUP(B235,Catalogo!$A:$F,2,FALSE),"CODIGO NO ENCONTRADO"))</f>
        <v/>
      </c>
      <c r="D235" s="10">
        <f>IF(B235="","",IFERROR(VLOOKUP(B235,Catalogo!$A:$F,4,FALSE),""))</f>
        <v/>
      </c>
      <c r="E235" s="3" t="n"/>
      <c r="F235" s="11">
        <f>IF(B235="","",IFERROR(VLOOKUP(B235,Catalogo!$A:$F,6,FALSE),0))</f>
        <v/>
      </c>
      <c r="G235" s="11">
        <f>IF(B235="","",E235*F235)</f>
        <v/>
      </c>
      <c r="H235" s="3" t="n"/>
    </row>
    <row r="236">
      <c r="A236" s="3" t="n"/>
      <c r="B236" s="3" t="n"/>
      <c r="C236" s="10">
        <f>IF(B236="","",IFERROR(VLOOKUP(B236,Catalogo!$A:$F,2,FALSE),"CODIGO NO ENCONTRADO"))</f>
        <v/>
      </c>
      <c r="D236" s="10">
        <f>IF(B236="","",IFERROR(VLOOKUP(B236,Catalogo!$A:$F,4,FALSE),""))</f>
        <v/>
      </c>
      <c r="E236" s="3" t="n"/>
      <c r="F236" s="11">
        <f>IF(B236="","",IFERROR(VLOOKUP(B236,Catalogo!$A:$F,6,FALSE),0))</f>
        <v/>
      </c>
      <c r="G236" s="11">
        <f>IF(B236="","",E236*F236)</f>
        <v/>
      </c>
      <c r="H236" s="3" t="n"/>
    </row>
    <row r="237">
      <c r="A237" s="3" t="n"/>
      <c r="B237" s="3" t="n"/>
      <c r="C237" s="10">
        <f>IF(B237="","",IFERROR(VLOOKUP(B237,Catalogo!$A:$F,2,FALSE),"CODIGO NO ENCONTRADO"))</f>
        <v/>
      </c>
      <c r="D237" s="10">
        <f>IF(B237="","",IFERROR(VLOOKUP(B237,Catalogo!$A:$F,4,FALSE),""))</f>
        <v/>
      </c>
      <c r="E237" s="3" t="n"/>
      <c r="F237" s="11">
        <f>IF(B237="","",IFERROR(VLOOKUP(B237,Catalogo!$A:$F,6,FALSE),0))</f>
        <v/>
      </c>
      <c r="G237" s="11">
        <f>IF(B237="","",E237*F237)</f>
        <v/>
      </c>
      <c r="H237" s="3" t="n"/>
    </row>
    <row r="238">
      <c r="A238" s="3" t="n"/>
      <c r="B238" s="3" t="n"/>
      <c r="C238" s="10">
        <f>IF(B238="","",IFERROR(VLOOKUP(B238,Catalogo!$A:$F,2,FALSE),"CODIGO NO ENCONTRADO"))</f>
        <v/>
      </c>
      <c r="D238" s="10">
        <f>IF(B238="","",IFERROR(VLOOKUP(B238,Catalogo!$A:$F,4,FALSE),""))</f>
        <v/>
      </c>
      <c r="E238" s="3" t="n"/>
      <c r="F238" s="11">
        <f>IF(B238="","",IFERROR(VLOOKUP(B238,Catalogo!$A:$F,6,FALSE),0))</f>
        <v/>
      </c>
      <c r="G238" s="11">
        <f>IF(B238="","",E238*F238)</f>
        <v/>
      </c>
      <c r="H238" s="3" t="n"/>
    </row>
    <row r="239">
      <c r="A239" s="3" t="n"/>
      <c r="B239" s="3" t="n"/>
      <c r="C239" s="10">
        <f>IF(B239="","",IFERROR(VLOOKUP(B239,Catalogo!$A:$F,2,FALSE),"CODIGO NO ENCONTRADO"))</f>
        <v/>
      </c>
      <c r="D239" s="10">
        <f>IF(B239="","",IFERROR(VLOOKUP(B239,Catalogo!$A:$F,4,FALSE),""))</f>
        <v/>
      </c>
      <c r="E239" s="3" t="n"/>
      <c r="F239" s="11">
        <f>IF(B239="","",IFERROR(VLOOKUP(B239,Catalogo!$A:$F,6,FALSE),0))</f>
        <v/>
      </c>
      <c r="G239" s="11">
        <f>IF(B239="","",E239*F239)</f>
        <v/>
      </c>
      <c r="H239" s="3" t="n"/>
    </row>
    <row r="240">
      <c r="A240" s="3" t="n"/>
      <c r="B240" s="3" t="n"/>
      <c r="C240" s="10">
        <f>IF(B240="","",IFERROR(VLOOKUP(B240,Catalogo!$A:$F,2,FALSE),"CODIGO NO ENCONTRADO"))</f>
        <v/>
      </c>
      <c r="D240" s="10">
        <f>IF(B240="","",IFERROR(VLOOKUP(B240,Catalogo!$A:$F,4,FALSE),""))</f>
        <v/>
      </c>
      <c r="E240" s="3" t="n"/>
      <c r="F240" s="11">
        <f>IF(B240="","",IFERROR(VLOOKUP(B240,Catalogo!$A:$F,6,FALSE),0))</f>
        <v/>
      </c>
      <c r="G240" s="11">
        <f>IF(B240="","",E240*F240)</f>
        <v/>
      </c>
      <c r="H240" s="3" t="n"/>
    </row>
    <row r="241">
      <c r="A241" s="3" t="n"/>
      <c r="B241" s="3" t="n"/>
      <c r="C241" s="10">
        <f>IF(B241="","",IFERROR(VLOOKUP(B241,Catalogo!$A:$F,2,FALSE),"CODIGO NO ENCONTRADO"))</f>
        <v/>
      </c>
      <c r="D241" s="10">
        <f>IF(B241="","",IFERROR(VLOOKUP(B241,Catalogo!$A:$F,4,FALSE),""))</f>
        <v/>
      </c>
      <c r="E241" s="3" t="n"/>
      <c r="F241" s="11">
        <f>IF(B241="","",IFERROR(VLOOKUP(B241,Catalogo!$A:$F,6,FALSE),0))</f>
        <v/>
      </c>
      <c r="G241" s="11">
        <f>IF(B241="","",E241*F241)</f>
        <v/>
      </c>
      <c r="H241" s="3" t="n"/>
    </row>
    <row r="242">
      <c r="A242" s="3" t="n"/>
      <c r="B242" s="3" t="n"/>
      <c r="C242" s="10">
        <f>IF(B242="","",IFERROR(VLOOKUP(B242,Catalogo!$A:$F,2,FALSE),"CODIGO NO ENCONTRADO"))</f>
        <v/>
      </c>
      <c r="D242" s="10">
        <f>IF(B242="","",IFERROR(VLOOKUP(B242,Catalogo!$A:$F,4,FALSE),""))</f>
        <v/>
      </c>
      <c r="E242" s="3" t="n"/>
      <c r="F242" s="11">
        <f>IF(B242="","",IFERROR(VLOOKUP(B242,Catalogo!$A:$F,6,FALSE),0))</f>
        <v/>
      </c>
      <c r="G242" s="11">
        <f>IF(B242="","",E242*F242)</f>
        <v/>
      </c>
      <c r="H242" s="3" t="n"/>
    </row>
    <row r="243">
      <c r="A243" s="3" t="n"/>
      <c r="B243" s="3" t="n"/>
      <c r="C243" s="10">
        <f>IF(B243="","",IFERROR(VLOOKUP(B243,Catalogo!$A:$F,2,FALSE),"CODIGO NO ENCONTRADO"))</f>
        <v/>
      </c>
      <c r="D243" s="10">
        <f>IF(B243="","",IFERROR(VLOOKUP(B243,Catalogo!$A:$F,4,FALSE),""))</f>
        <v/>
      </c>
      <c r="E243" s="3" t="n"/>
      <c r="F243" s="11">
        <f>IF(B243="","",IFERROR(VLOOKUP(B243,Catalogo!$A:$F,6,FALSE),0))</f>
        <v/>
      </c>
      <c r="G243" s="11">
        <f>IF(B243="","",E243*F243)</f>
        <v/>
      </c>
      <c r="H243" s="3" t="n"/>
    </row>
    <row r="244">
      <c r="A244" s="3" t="n"/>
      <c r="B244" s="3" t="n"/>
      <c r="C244" s="10">
        <f>IF(B244="","",IFERROR(VLOOKUP(B244,Catalogo!$A:$F,2,FALSE),"CODIGO NO ENCONTRADO"))</f>
        <v/>
      </c>
      <c r="D244" s="10">
        <f>IF(B244="","",IFERROR(VLOOKUP(B244,Catalogo!$A:$F,4,FALSE),""))</f>
        <v/>
      </c>
      <c r="E244" s="3" t="n"/>
      <c r="F244" s="11">
        <f>IF(B244="","",IFERROR(VLOOKUP(B244,Catalogo!$A:$F,6,FALSE),0))</f>
        <v/>
      </c>
      <c r="G244" s="11">
        <f>IF(B244="","",E244*F244)</f>
        <v/>
      </c>
      <c r="H244" s="3" t="n"/>
    </row>
    <row r="245">
      <c r="A245" s="3" t="n"/>
      <c r="B245" s="3" t="n"/>
      <c r="C245" s="10">
        <f>IF(B245="","",IFERROR(VLOOKUP(B245,Catalogo!$A:$F,2,FALSE),"CODIGO NO ENCONTRADO"))</f>
        <v/>
      </c>
      <c r="D245" s="10">
        <f>IF(B245="","",IFERROR(VLOOKUP(B245,Catalogo!$A:$F,4,FALSE),""))</f>
        <v/>
      </c>
      <c r="E245" s="3" t="n"/>
      <c r="F245" s="11">
        <f>IF(B245="","",IFERROR(VLOOKUP(B245,Catalogo!$A:$F,6,FALSE),0))</f>
        <v/>
      </c>
      <c r="G245" s="11">
        <f>IF(B245="","",E245*F245)</f>
        <v/>
      </c>
      <c r="H245" s="3" t="n"/>
    </row>
    <row r="246">
      <c r="A246" s="3" t="n"/>
      <c r="B246" s="3" t="n"/>
      <c r="C246" s="10">
        <f>IF(B246="","",IFERROR(VLOOKUP(B246,Catalogo!$A:$F,2,FALSE),"CODIGO NO ENCONTRADO"))</f>
        <v/>
      </c>
      <c r="D246" s="10">
        <f>IF(B246="","",IFERROR(VLOOKUP(B246,Catalogo!$A:$F,4,FALSE),""))</f>
        <v/>
      </c>
      <c r="E246" s="3" t="n"/>
      <c r="F246" s="11">
        <f>IF(B246="","",IFERROR(VLOOKUP(B246,Catalogo!$A:$F,6,FALSE),0))</f>
        <v/>
      </c>
      <c r="G246" s="11">
        <f>IF(B246="","",E246*F246)</f>
        <v/>
      </c>
      <c r="H246" s="3" t="n"/>
    </row>
    <row r="247">
      <c r="A247" s="3" t="n"/>
      <c r="B247" s="3" t="n"/>
      <c r="C247" s="10">
        <f>IF(B247="","",IFERROR(VLOOKUP(B247,Catalogo!$A:$F,2,FALSE),"CODIGO NO ENCONTRADO"))</f>
        <v/>
      </c>
      <c r="D247" s="10">
        <f>IF(B247="","",IFERROR(VLOOKUP(B247,Catalogo!$A:$F,4,FALSE),""))</f>
        <v/>
      </c>
      <c r="E247" s="3" t="n"/>
      <c r="F247" s="11">
        <f>IF(B247="","",IFERROR(VLOOKUP(B247,Catalogo!$A:$F,6,FALSE),0))</f>
        <v/>
      </c>
      <c r="G247" s="11">
        <f>IF(B247="","",E247*F247)</f>
        <v/>
      </c>
      <c r="H247" s="3" t="n"/>
    </row>
    <row r="248">
      <c r="A248" s="3" t="n"/>
      <c r="B248" s="3" t="n"/>
      <c r="C248" s="10">
        <f>IF(B248="","",IFERROR(VLOOKUP(B248,Catalogo!$A:$F,2,FALSE),"CODIGO NO ENCONTRADO"))</f>
        <v/>
      </c>
      <c r="D248" s="10">
        <f>IF(B248="","",IFERROR(VLOOKUP(B248,Catalogo!$A:$F,4,FALSE),""))</f>
        <v/>
      </c>
      <c r="E248" s="3" t="n"/>
      <c r="F248" s="11">
        <f>IF(B248="","",IFERROR(VLOOKUP(B248,Catalogo!$A:$F,6,FALSE),0))</f>
        <v/>
      </c>
      <c r="G248" s="11">
        <f>IF(B248="","",E248*F248)</f>
        <v/>
      </c>
      <c r="H248" s="3" t="n"/>
    </row>
    <row r="249">
      <c r="A249" s="3" t="n"/>
      <c r="B249" s="3" t="n"/>
      <c r="C249" s="10">
        <f>IF(B249="","",IFERROR(VLOOKUP(B249,Catalogo!$A:$F,2,FALSE),"CODIGO NO ENCONTRADO"))</f>
        <v/>
      </c>
      <c r="D249" s="10">
        <f>IF(B249="","",IFERROR(VLOOKUP(B249,Catalogo!$A:$F,4,FALSE),""))</f>
        <v/>
      </c>
      <c r="E249" s="3" t="n"/>
      <c r="F249" s="11">
        <f>IF(B249="","",IFERROR(VLOOKUP(B249,Catalogo!$A:$F,6,FALSE),0))</f>
        <v/>
      </c>
      <c r="G249" s="11">
        <f>IF(B249="","",E249*F249)</f>
        <v/>
      </c>
      <c r="H249" s="3" t="n"/>
    </row>
    <row r="250">
      <c r="A250" s="3" t="n"/>
      <c r="B250" s="3" t="n"/>
      <c r="C250" s="10">
        <f>IF(B250="","",IFERROR(VLOOKUP(B250,Catalogo!$A:$F,2,FALSE),"CODIGO NO ENCONTRADO"))</f>
        <v/>
      </c>
      <c r="D250" s="10">
        <f>IF(B250="","",IFERROR(VLOOKUP(B250,Catalogo!$A:$F,4,FALSE),""))</f>
        <v/>
      </c>
      <c r="E250" s="3" t="n"/>
      <c r="F250" s="11">
        <f>IF(B250="","",IFERROR(VLOOKUP(B250,Catalogo!$A:$F,6,FALSE),0))</f>
        <v/>
      </c>
      <c r="G250" s="11">
        <f>IF(B250="","",E250*F250)</f>
        <v/>
      </c>
      <c r="H250" s="3" t="n"/>
    </row>
    <row r="251">
      <c r="A251" s="3" t="n"/>
      <c r="B251" s="3" t="n"/>
      <c r="C251" s="10">
        <f>IF(B251="","",IFERROR(VLOOKUP(B251,Catalogo!$A:$F,2,FALSE),"CODIGO NO ENCONTRADO"))</f>
        <v/>
      </c>
      <c r="D251" s="10">
        <f>IF(B251="","",IFERROR(VLOOKUP(B251,Catalogo!$A:$F,4,FALSE),""))</f>
        <v/>
      </c>
      <c r="E251" s="3" t="n"/>
      <c r="F251" s="11">
        <f>IF(B251="","",IFERROR(VLOOKUP(B251,Catalogo!$A:$F,6,FALSE),0))</f>
        <v/>
      </c>
      <c r="G251" s="11">
        <f>IF(B251="","",E251*F251)</f>
        <v/>
      </c>
      <c r="H251" s="3" t="n"/>
    </row>
    <row r="252">
      <c r="A252" s="3" t="n"/>
      <c r="B252" s="3" t="n"/>
      <c r="C252" s="10">
        <f>IF(B252="","",IFERROR(VLOOKUP(B252,Catalogo!$A:$F,2,FALSE),"CODIGO NO ENCONTRADO"))</f>
        <v/>
      </c>
      <c r="D252" s="10">
        <f>IF(B252="","",IFERROR(VLOOKUP(B252,Catalogo!$A:$F,4,FALSE),""))</f>
        <v/>
      </c>
      <c r="E252" s="3" t="n"/>
      <c r="F252" s="11">
        <f>IF(B252="","",IFERROR(VLOOKUP(B252,Catalogo!$A:$F,6,FALSE),0))</f>
        <v/>
      </c>
      <c r="G252" s="11">
        <f>IF(B252="","",E252*F252)</f>
        <v/>
      </c>
      <c r="H252" s="3" t="n"/>
    </row>
    <row r="253">
      <c r="A253" s="3" t="n"/>
      <c r="B253" s="3" t="n"/>
      <c r="C253" s="10">
        <f>IF(B253="","",IFERROR(VLOOKUP(B253,Catalogo!$A:$F,2,FALSE),"CODIGO NO ENCONTRADO"))</f>
        <v/>
      </c>
      <c r="D253" s="10">
        <f>IF(B253="","",IFERROR(VLOOKUP(B253,Catalogo!$A:$F,4,FALSE),""))</f>
        <v/>
      </c>
      <c r="E253" s="3" t="n"/>
      <c r="F253" s="11">
        <f>IF(B253="","",IFERROR(VLOOKUP(B253,Catalogo!$A:$F,6,FALSE),0))</f>
        <v/>
      </c>
      <c r="G253" s="11">
        <f>IF(B253="","",E253*F253)</f>
        <v/>
      </c>
      <c r="H253" s="3" t="n"/>
    </row>
    <row r="254">
      <c r="A254" s="3" t="n"/>
      <c r="B254" s="3" t="n"/>
      <c r="C254" s="10">
        <f>IF(B254="","",IFERROR(VLOOKUP(B254,Catalogo!$A:$F,2,FALSE),"CODIGO NO ENCONTRADO"))</f>
        <v/>
      </c>
      <c r="D254" s="10">
        <f>IF(B254="","",IFERROR(VLOOKUP(B254,Catalogo!$A:$F,4,FALSE),""))</f>
        <v/>
      </c>
      <c r="E254" s="3" t="n"/>
      <c r="F254" s="11">
        <f>IF(B254="","",IFERROR(VLOOKUP(B254,Catalogo!$A:$F,6,FALSE),0))</f>
        <v/>
      </c>
      <c r="G254" s="11">
        <f>IF(B254="","",E254*F254)</f>
        <v/>
      </c>
      <c r="H254" s="3" t="n"/>
    </row>
    <row r="255">
      <c r="A255" s="3" t="n"/>
      <c r="B255" s="3" t="n"/>
      <c r="C255" s="10">
        <f>IF(B255="","",IFERROR(VLOOKUP(B255,Catalogo!$A:$F,2,FALSE),"CODIGO NO ENCONTRADO"))</f>
        <v/>
      </c>
      <c r="D255" s="10">
        <f>IF(B255="","",IFERROR(VLOOKUP(B255,Catalogo!$A:$F,4,FALSE),""))</f>
        <v/>
      </c>
      <c r="E255" s="3" t="n"/>
      <c r="F255" s="11">
        <f>IF(B255="","",IFERROR(VLOOKUP(B255,Catalogo!$A:$F,6,FALSE),0))</f>
        <v/>
      </c>
      <c r="G255" s="11">
        <f>IF(B255="","",E255*F255)</f>
        <v/>
      </c>
      <c r="H255" s="3" t="n"/>
    </row>
    <row r="256">
      <c r="A256" s="3" t="n"/>
      <c r="B256" s="3" t="n"/>
      <c r="C256" s="10">
        <f>IF(B256="","",IFERROR(VLOOKUP(B256,Catalogo!$A:$F,2,FALSE),"CODIGO NO ENCONTRADO"))</f>
        <v/>
      </c>
      <c r="D256" s="10">
        <f>IF(B256="","",IFERROR(VLOOKUP(B256,Catalogo!$A:$F,4,FALSE),""))</f>
        <v/>
      </c>
      <c r="E256" s="3" t="n"/>
      <c r="F256" s="11">
        <f>IF(B256="","",IFERROR(VLOOKUP(B256,Catalogo!$A:$F,6,FALSE),0))</f>
        <v/>
      </c>
      <c r="G256" s="11">
        <f>IF(B256="","",E256*F256)</f>
        <v/>
      </c>
      <c r="H256" s="3" t="n"/>
    </row>
    <row r="257">
      <c r="A257" s="3" t="n"/>
      <c r="B257" s="3" t="n"/>
      <c r="C257" s="10">
        <f>IF(B257="","",IFERROR(VLOOKUP(B257,Catalogo!$A:$F,2,FALSE),"CODIGO NO ENCONTRADO"))</f>
        <v/>
      </c>
      <c r="D257" s="10">
        <f>IF(B257="","",IFERROR(VLOOKUP(B257,Catalogo!$A:$F,4,FALSE),""))</f>
        <v/>
      </c>
      <c r="E257" s="3" t="n"/>
      <c r="F257" s="11">
        <f>IF(B257="","",IFERROR(VLOOKUP(B257,Catalogo!$A:$F,6,FALSE),0))</f>
        <v/>
      </c>
      <c r="G257" s="11">
        <f>IF(B257="","",E257*F257)</f>
        <v/>
      </c>
      <c r="H257" s="3" t="n"/>
    </row>
    <row r="258">
      <c r="A258" s="3" t="n"/>
      <c r="B258" s="3" t="n"/>
      <c r="C258" s="10">
        <f>IF(B258="","",IFERROR(VLOOKUP(B258,Catalogo!$A:$F,2,FALSE),"CODIGO NO ENCONTRADO"))</f>
        <v/>
      </c>
      <c r="D258" s="10">
        <f>IF(B258="","",IFERROR(VLOOKUP(B258,Catalogo!$A:$F,4,FALSE),""))</f>
        <v/>
      </c>
      <c r="E258" s="3" t="n"/>
      <c r="F258" s="11">
        <f>IF(B258="","",IFERROR(VLOOKUP(B258,Catalogo!$A:$F,6,FALSE),0))</f>
        <v/>
      </c>
      <c r="G258" s="11">
        <f>IF(B258="","",E258*F258)</f>
        <v/>
      </c>
      <c r="H258" s="3" t="n"/>
    </row>
    <row r="259">
      <c r="A259" s="3" t="n"/>
      <c r="B259" s="3" t="n"/>
      <c r="C259" s="10">
        <f>IF(B259="","",IFERROR(VLOOKUP(B259,Catalogo!$A:$F,2,FALSE),"CODIGO NO ENCONTRADO"))</f>
        <v/>
      </c>
      <c r="D259" s="10">
        <f>IF(B259="","",IFERROR(VLOOKUP(B259,Catalogo!$A:$F,4,FALSE),""))</f>
        <v/>
      </c>
      <c r="E259" s="3" t="n"/>
      <c r="F259" s="11">
        <f>IF(B259="","",IFERROR(VLOOKUP(B259,Catalogo!$A:$F,6,FALSE),0))</f>
        <v/>
      </c>
      <c r="G259" s="11">
        <f>IF(B259="","",E259*F259)</f>
        <v/>
      </c>
      <c r="H259" s="3" t="n"/>
    </row>
    <row r="260">
      <c r="A260" s="3" t="n"/>
      <c r="B260" s="3" t="n"/>
      <c r="C260" s="10">
        <f>IF(B260="","",IFERROR(VLOOKUP(B260,Catalogo!$A:$F,2,FALSE),"CODIGO NO ENCONTRADO"))</f>
        <v/>
      </c>
      <c r="D260" s="10">
        <f>IF(B260="","",IFERROR(VLOOKUP(B260,Catalogo!$A:$F,4,FALSE),""))</f>
        <v/>
      </c>
      <c r="E260" s="3" t="n"/>
      <c r="F260" s="11">
        <f>IF(B260="","",IFERROR(VLOOKUP(B260,Catalogo!$A:$F,6,FALSE),0))</f>
        <v/>
      </c>
      <c r="G260" s="11">
        <f>IF(B260="","",E260*F260)</f>
        <v/>
      </c>
      <c r="H260" s="3" t="n"/>
    </row>
    <row r="261">
      <c r="A261" s="3" t="n"/>
      <c r="B261" s="3" t="n"/>
      <c r="C261" s="10">
        <f>IF(B261="","",IFERROR(VLOOKUP(B261,Catalogo!$A:$F,2,FALSE),"CODIGO NO ENCONTRADO"))</f>
        <v/>
      </c>
      <c r="D261" s="10">
        <f>IF(B261="","",IFERROR(VLOOKUP(B261,Catalogo!$A:$F,4,FALSE),""))</f>
        <v/>
      </c>
      <c r="E261" s="3" t="n"/>
      <c r="F261" s="11">
        <f>IF(B261="","",IFERROR(VLOOKUP(B261,Catalogo!$A:$F,6,FALSE),0))</f>
        <v/>
      </c>
      <c r="G261" s="11">
        <f>IF(B261="","",E261*F261)</f>
        <v/>
      </c>
      <c r="H261" s="3" t="n"/>
    </row>
    <row r="262">
      <c r="A262" s="3" t="n"/>
      <c r="B262" s="3" t="n"/>
      <c r="C262" s="10">
        <f>IF(B262="","",IFERROR(VLOOKUP(B262,Catalogo!$A:$F,2,FALSE),"CODIGO NO ENCONTRADO"))</f>
        <v/>
      </c>
      <c r="D262" s="10">
        <f>IF(B262="","",IFERROR(VLOOKUP(B262,Catalogo!$A:$F,4,FALSE),""))</f>
        <v/>
      </c>
      <c r="E262" s="3" t="n"/>
      <c r="F262" s="11">
        <f>IF(B262="","",IFERROR(VLOOKUP(B262,Catalogo!$A:$F,6,FALSE),0))</f>
        <v/>
      </c>
      <c r="G262" s="11">
        <f>IF(B262="","",E262*F262)</f>
        <v/>
      </c>
      <c r="H262" s="3" t="n"/>
    </row>
    <row r="263">
      <c r="A263" s="3" t="n"/>
      <c r="B263" s="3" t="n"/>
      <c r="C263" s="10">
        <f>IF(B263="","",IFERROR(VLOOKUP(B263,Catalogo!$A:$F,2,FALSE),"CODIGO NO ENCONTRADO"))</f>
        <v/>
      </c>
      <c r="D263" s="10">
        <f>IF(B263="","",IFERROR(VLOOKUP(B263,Catalogo!$A:$F,4,FALSE),""))</f>
        <v/>
      </c>
      <c r="E263" s="3" t="n"/>
      <c r="F263" s="11">
        <f>IF(B263="","",IFERROR(VLOOKUP(B263,Catalogo!$A:$F,6,FALSE),0))</f>
        <v/>
      </c>
      <c r="G263" s="11">
        <f>IF(B263="","",E263*F263)</f>
        <v/>
      </c>
      <c r="H263" s="3" t="n"/>
    </row>
    <row r="264">
      <c r="A264" s="3" t="n"/>
      <c r="B264" s="3" t="n"/>
      <c r="C264" s="10">
        <f>IF(B264="","",IFERROR(VLOOKUP(B264,Catalogo!$A:$F,2,FALSE),"CODIGO NO ENCONTRADO"))</f>
        <v/>
      </c>
      <c r="D264" s="10">
        <f>IF(B264="","",IFERROR(VLOOKUP(B264,Catalogo!$A:$F,4,FALSE),""))</f>
        <v/>
      </c>
      <c r="E264" s="3" t="n"/>
      <c r="F264" s="11">
        <f>IF(B264="","",IFERROR(VLOOKUP(B264,Catalogo!$A:$F,6,FALSE),0))</f>
        <v/>
      </c>
      <c r="G264" s="11">
        <f>IF(B264="","",E264*F264)</f>
        <v/>
      </c>
      <c r="H264" s="3" t="n"/>
    </row>
    <row r="265">
      <c r="A265" s="3" t="n"/>
      <c r="B265" s="3" t="n"/>
      <c r="C265" s="10">
        <f>IF(B265="","",IFERROR(VLOOKUP(B265,Catalogo!$A:$F,2,FALSE),"CODIGO NO ENCONTRADO"))</f>
        <v/>
      </c>
      <c r="D265" s="10">
        <f>IF(B265="","",IFERROR(VLOOKUP(B265,Catalogo!$A:$F,4,FALSE),""))</f>
        <v/>
      </c>
      <c r="E265" s="3" t="n"/>
      <c r="F265" s="11">
        <f>IF(B265="","",IFERROR(VLOOKUP(B265,Catalogo!$A:$F,6,FALSE),0))</f>
        <v/>
      </c>
      <c r="G265" s="11">
        <f>IF(B265="","",E265*F265)</f>
        <v/>
      </c>
      <c r="H265" s="3" t="n"/>
    </row>
    <row r="266">
      <c r="A266" s="3" t="n"/>
      <c r="B266" s="3" t="n"/>
      <c r="C266" s="10">
        <f>IF(B266="","",IFERROR(VLOOKUP(B266,Catalogo!$A:$F,2,FALSE),"CODIGO NO ENCONTRADO"))</f>
        <v/>
      </c>
      <c r="D266" s="10">
        <f>IF(B266="","",IFERROR(VLOOKUP(B266,Catalogo!$A:$F,4,FALSE),""))</f>
        <v/>
      </c>
      <c r="E266" s="3" t="n"/>
      <c r="F266" s="11">
        <f>IF(B266="","",IFERROR(VLOOKUP(B266,Catalogo!$A:$F,6,FALSE),0))</f>
        <v/>
      </c>
      <c r="G266" s="11">
        <f>IF(B266="","",E266*F266)</f>
        <v/>
      </c>
      <c r="H266" s="3" t="n"/>
    </row>
    <row r="267">
      <c r="A267" s="3" t="n"/>
      <c r="B267" s="3" t="n"/>
      <c r="C267" s="10">
        <f>IF(B267="","",IFERROR(VLOOKUP(B267,Catalogo!$A:$F,2,FALSE),"CODIGO NO ENCONTRADO"))</f>
        <v/>
      </c>
      <c r="D267" s="10">
        <f>IF(B267="","",IFERROR(VLOOKUP(B267,Catalogo!$A:$F,4,FALSE),""))</f>
        <v/>
      </c>
      <c r="E267" s="3" t="n"/>
      <c r="F267" s="11">
        <f>IF(B267="","",IFERROR(VLOOKUP(B267,Catalogo!$A:$F,6,FALSE),0))</f>
        <v/>
      </c>
      <c r="G267" s="11">
        <f>IF(B267="","",E267*F267)</f>
        <v/>
      </c>
      <c r="H267" s="3" t="n"/>
    </row>
    <row r="268">
      <c r="A268" s="3" t="n"/>
      <c r="B268" s="3" t="n"/>
      <c r="C268" s="10">
        <f>IF(B268="","",IFERROR(VLOOKUP(B268,Catalogo!$A:$F,2,FALSE),"CODIGO NO ENCONTRADO"))</f>
        <v/>
      </c>
      <c r="D268" s="10">
        <f>IF(B268="","",IFERROR(VLOOKUP(B268,Catalogo!$A:$F,4,FALSE),""))</f>
        <v/>
      </c>
      <c r="E268" s="3" t="n"/>
      <c r="F268" s="11">
        <f>IF(B268="","",IFERROR(VLOOKUP(B268,Catalogo!$A:$F,6,FALSE),0))</f>
        <v/>
      </c>
      <c r="G268" s="11">
        <f>IF(B268="","",E268*F268)</f>
        <v/>
      </c>
      <c r="H268" s="3" t="n"/>
    </row>
    <row r="269">
      <c r="A269" s="3" t="n"/>
      <c r="B269" s="3" t="n"/>
      <c r="C269" s="10">
        <f>IF(B269="","",IFERROR(VLOOKUP(B269,Catalogo!$A:$F,2,FALSE),"CODIGO NO ENCONTRADO"))</f>
        <v/>
      </c>
      <c r="D269" s="10">
        <f>IF(B269="","",IFERROR(VLOOKUP(B269,Catalogo!$A:$F,4,FALSE),""))</f>
        <v/>
      </c>
      <c r="E269" s="3" t="n"/>
      <c r="F269" s="11">
        <f>IF(B269="","",IFERROR(VLOOKUP(B269,Catalogo!$A:$F,6,FALSE),0))</f>
        <v/>
      </c>
      <c r="G269" s="11">
        <f>IF(B269="","",E269*F269)</f>
        <v/>
      </c>
      <c r="H269" s="3" t="n"/>
    </row>
    <row r="270">
      <c r="A270" s="3" t="n"/>
      <c r="B270" s="3" t="n"/>
      <c r="C270" s="10">
        <f>IF(B270="","",IFERROR(VLOOKUP(B270,Catalogo!$A:$F,2,FALSE),"CODIGO NO ENCONTRADO"))</f>
        <v/>
      </c>
      <c r="D270" s="10">
        <f>IF(B270="","",IFERROR(VLOOKUP(B270,Catalogo!$A:$F,4,FALSE),""))</f>
        <v/>
      </c>
      <c r="E270" s="3" t="n"/>
      <c r="F270" s="11">
        <f>IF(B270="","",IFERROR(VLOOKUP(B270,Catalogo!$A:$F,6,FALSE),0))</f>
        <v/>
      </c>
      <c r="G270" s="11">
        <f>IF(B270="","",E270*F270)</f>
        <v/>
      </c>
      <c r="H270" s="3" t="n"/>
    </row>
    <row r="271">
      <c r="A271" s="3" t="n"/>
      <c r="B271" s="3" t="n"/>
      <c r="C271" s="10">
        <f>IF(B271="","",IFERROR(VLOOKUP(B271,Catalogo!$A:$F,2,FALSE),"CODIGO NO ENCONTRADO"))</f>
        <v/>
      </c>
      <c r="D271" s="10">
        <f>IF(B271="","",IFERROR(VLOOKUP(B271,Catalogo!$A:$F,4,FALSE),""))</f>
        <v/>
      </c>
      <c r="E271" s="3" t="n"/>
      <c r="F271" s="11">
        <f>IF(B271="","",IFERROR(VLOOKUP(B271,Catalogo!$A:$F,6,FALSE),0))</f>
        <v/>
      </c>
      <c r="G271" s="11">
        <f>IF(B271="","",E271*F271)</f>
        <v/>
      </c>
      <c r="H271" s="3" t="n"/>
    </row>
    <row r="272">
      <c r="A272" s="3" t="n"/>
      <c r="B272" s="3" t="n"/>
      <c r="C272" s="10">
        <f>IF(B272="","",IFERROR(VLOOKUP(B272,Catalogo!$A:$F,2,FALSE),"CODIGO NO ENCONTRADO"))</f>
        <v/>
      </c>
      <c r="D272" s="10">
        <f>IF(B272="","",IFERROR(VLOOKUP(B272,Catalogo!$A:$F,4,FALSE),""))</f>
        <v/>
      </c>
      <c r="E272" s="3" t="n"/>
      <c r="F272" s="11">
        <f>IF(B272="","",IFERROR(VLOOKUP(B272,Catalogo!$A:$F,6,FALSE),0))</f>
        <v/>
      </c>
      <c r="G272" s="11">
        <f>IF(B272="","",E272*F272)</f>
        <v/>
      </c>
      <c r="H272" s="3" t="n"/>
    </row>
    <row r="273">
      <c r="A273" s="3" t="n"/>
      <c r="B273" s="3" t="n"/>
      <c r="C273" s="10">
        <f>IF(B273="","",IFERROR(VLOOKUP(B273,Catalogo!$A:$F,2,FALSE),"CODIGO NO ENCONTRADO"))</f>
        <v/>
      </c>
      <c r="D273" s="10">
        <f>IF(B273="","",IFERROR(VLOOKUP(B273,Catalogo!$A:$F,4,FALSE),""))</f>
        <v/>
      </c>
      <c r="E273" s="3" t="n"/>
      <c r="F273" s="11">
        <f>IF(B273="","",IFERROR(VLOOKUP(B273,Catalogo!$A:$F,6,FALSE),0))</f>
        <v/>
      </c>
      <c r="G273" s="11">
        <f>IF(B273="","",E273*F273)</f>
        <v/>
      </c>
      <c r="H273" s="3" t="n"/>
    </row>
    <row r="274">
      <c r="A274" s="3" t="n"/>
      <c r="B274" s="3" t="n"/>
      <c r="C274" s="10">
        <f>IF(B274="","",IFERROR(VLOOKUP(B274,Catalogo!$A:$F,2,FALSE),"CODIGO NO ENCONTRADO"))</f>
        <v/>
      </c>
      <c r="D274" s="10">
        <f>IF(B274="","",IFERROR(VLOOKUP(B274,Catalogo!$A:$F,4,FALSE),""))</f>
        <v/>
      </c>
      <c r="E274" s="3" t="n"/>
      <c r="F274" s="11">
        <f>IF(B274="","",IFERROR(VLOOKUP(B274,Catalogo!$A:$F,6,FALSE),0))</f>
        <v/>
      </c>
      <c r="G274" s="11">
        <f>IF(B274="","",E274*F274)</f>
        <v/>
      </c>
      <c r="H274" s="3" t="n"/>
    </row>
    <row r="275">
      <c r="A275" s="3" t="n"/>
      <c r="B275" s="3" t="n"/>
      <c r="C275" s="10">
        <f>IF(B275="","",IFERROR(VLOOKUP(B275,Catalogo!$A:$F,2,FALSE),"CODIGO NO ENCONTRADO"))</f>
        <v/>
      </c>
      <c r="D275" s="10">
        <f>IF(B275="","",IFERROR(VLOOKUP(B275,Catalogo!$A:$F,4,FALSE),""))</f>
        <v/>
      </c>
      <c r="E275" s="3" t="n"/>
      <c r="F275" s="11">
        <f>IF(B275="","",IFERROR(VLOOKUP(B275,Catalogo!$A:$F,6,FALSE),0))</f>
        <v/>
      </c>
      <c r="G275" s="11">
        <f>IF(B275="","",E275*F275)</f>
        <v/>
      </c>
      <c r="H275" s="3" t="n"/>
    </row>
    <row r="276">
      <c r="A276" s="3" t="n"/>
      <c r="B276" s="3" t="n"/>
      <c r="C276" s="10">
        <f>IF(B276="","",IFERROR(VLOOKUP(B276,Catalogo!$A:$F,2,FALSE),"CODIGO NO ENCONTRADO"))</f>
        <v/>
      </c>
      <c r="D276" s="10">
        <f>IF(B276="","",IFERROR(VLOOKUP(B276,Catalogo!$A:$F,4,FALSE),""))</f>
        <v/>
      </c>
      <c r="E276" s="3" t="n"/>
      <c r="F276" s="11">
        <f>IF(B276="","",IFERROR(VLOOKUP(B276,Catalogo!$A:$F,6,FALSE),0))</f>
        <v/>
      </c>
      <c r="G276" s="11">
        <f>IF(B276="","",E276*F276)</f>
        <v/>
      </c>
      <c r="H276" s="3" t="n"/>
    </row>
    <row r="277">
      <c r="A277" s="3" t="n"/>
      <c r="B277" s="3" t="n"/>
      <c r="C277" s="10">
        <f>IF(B277="","",IFERROR(VLOOKUP(B277,Catalogo!$A:$F,2,FALSE),"CODIGO NO ENCONTRADO"))</f>
        <v/>
      </c>
      <c r="D277" s="10">
        <f>IF(B277="","",IFERROR(VLOOKUP(B277,Catalogo!$A:$F,4,FALSE),""))</f>
        <v/>
      </c>
      <c r="E277" s="3" t="n"/>
      <c r="F277" s="11">
        <f>IF(B277="","",IFERROR(VLOOKUP(B277,Catalogo!$A:$F,6,FALSE),0))</f>
        <v/>
      </c>
      <c r="G277" s="11">
        <f>IF(B277="","",E277*F277)</f>
        <v/>
      </c>
      <c r="H277" s="3" t="n"/>
    </row>
    <row r="278">
      <c r="A278" s="3" t="n"/>
      <c r="B278" s="3" t="n"/>
      <c r="C278" s="10">
        <f>IF(B278="","",IFERROR(VLOOKUP(B278,Catalogo!$A:$F,2,FALSE),"CODIGO NO ENCONTRADO"))</f>
        <v/>
      </c>
      <c r="D278" s="10">
        <f>IF(B278="","",IFERROR(VLOOKUP(B278,Catalogo!$A:$F,4,FALSE),""))</f>
        <v/>
      </c>
      <c r="E278" s="3" t="n"/>
      <c r="F278" s="11">
        <f>IF(B278="","",IFERROR(VLOOKUP(B278,Catalogo!$A:$F,6,FALSE),0))</f>
        <v/>
      </c>
      <c r="G278" s="11">
        <f>IF(B278="","",E278*F278)</f>
        <v/>
      </c>
      <c r="H278" s="3" t="n"/>
    </row>
    <row r="279">
      <c r="A279" s="3" t="n"/>
      <c r="B279" s="3" t="n"/>
      <c r="C279" s="10">
        <f>IF(B279="","",IFERROR(VLOOKUP(B279,Catalogo!$A:$F,2,FALSE),"CODIGO NO ENCONTRADO"))</f>
        <v/>
      </c>
      <c r="D279" s="10">
        <f>IF(B279="","",IFERROR(VLOOKUP(B279,Catalogo!$A:$F,4,FALSE),""))</f>
        <v/>
      </c>
      <c r="E279" s="3" t="n"/>
      <c r="F279" s="11">
        <f>IF(B279="","",IFERROR(VLOOKUP(B279,Catalogo!$A:$F,6,FALSE),0))</f>
        <v/>
      </c>
      <c r="G279" s="11">
        <f>IF(B279="","",E279*F279)</f>
        <v/>
      </c>
      <c r="H279" s="3" t="n"/>
    </row>
    <row r="280">
      <c r="A280" s="3" t="n"/>
      <c r="B280" s="3" t="n"/>
      <c r="C280" s="10">
        <f>IF(B280="","",IFERROR(VLOOKUP(B280,Catalogo!$A:$F,2,FALSE),"CODIGO NO ENCONTRADO"))</f>
        <v/>
      </c>
      <c r="D280" s="10">
        <f>IF(B280="","",IFERROR(VLOOKUP(B280,Catalogo!$A:$F,4,FALSE),""))</f>
        <v/>
      </c>
      <c r="E280" s="3" t="n"/>
      <c r="F280" s="11">
        <f>IF(B280="","",IFERROR(VLOOKUP(B280,Catalogo!$A:$F,6,FALSE),0))</f>
        <v/>
      </c>
      <c r="G280" s="11">
        <f>IF(B280="","",E280*F280)</f>
        <v/>
      </c>
      <c r="H280" s="3" t="n"/>
    </row>
    <row r="281">
      <c r="A281" s="3" t="n"/>
      <c r="B281" s="3" t="n"/>
      <c r="C281" s="10">
        <f>IF(B281="","",IFERROR(VLOOKUP(B281,Catalogo!$A:$F,2,FALSE),"CODIGO NO ENCONTRADO"))</f>
        <v/>
      </c>
      <c r="D281" s="10">
        <f>IF(B281="","",IFERROR(VLOOKUP(B281,Catalogo!$A:$F,4,FALSE),""))</f>
        <v/>
      </c>
      <c r="E281" s="3" t="n"/>
      <c r="F281" s="11">
        <f>IF(B281="","",IFERROR(VLOOKUP(B281,Catalogo!$A:$F,6,FALSE),0))</f>
        <v/>
      </c>
      <c r="G281" s="11">
        <f>IF(B281="","",E281*F281)</f>
        <v/>
      </c>
      <c r="H281" s="3" t="n"/>
    </row>
    <row r="282">
      <c r="A282" s="3" t="n"/>
      <c r="B282" s="3" t="n"/>
      <c r="C282" s="10">
        <f>IF(B282="","",IFERROR(VLOOKUP(B282,Catalogo!$A:$F,2,FALSE),"CODIGO NO ENCONTRADO"))</f>
        <v/>
      </c>
      <c r="D282" s="10">
        <f>IF(B282="","",IFERROR(VLOOKUP(B282,Catalogo!$A:$F,4,FALSE),""))</f>
        <v/>
      </c>
      <c r="E282" s="3" t="n"/>
      <c r="F282" s="11">
        <f>IF(B282="","",IFERROR(VLOOKUP(B282,Catalogo!$A:$F,6,FALSE),0))</f>
        <v/>
      </c>
      <c r="G282" s="11">
        <f>IF(B282="","",E282*F282)</f>
        <v/>
      </c>
      <c r="H282" s="3" t="n"/>
    </row>
    <row r="283">
      <c r="A283" s="3" t="n"/>
      <c r="B283" s="3" t="n"/>
      <c r="C283" s="10">
        <f>IF(B283="","",IFERROR(VLOOKUP(B283,Catalogo!$A:$F,2,FALSE),"CODIGO NO ENCONTRADO"))</f>
        <v/>
      </c>
      <c r="D283" s="10">
        <f>IF(B283="","",IFERROR(VLOOKUP(B283,Catalogo!$A:$F,4,FALSE),""))</f>
        <v/>
      </c>
      <c r="E283" s="3" t="n"/>
      <c r="F283" s="11">
        <f>IF(B283="","",IFERROR(VLOOKUP(B283,Catalogo!$A:$F,6,FALSE),0))</f>
        <v/>
      </c>
      <c r="G283" s="11">
        <f>IF(B283="","",E283*F283)</f>
        <v/>
      </c>
      <c r="H283" s="3" t="n"/>
    </row>
    <row r="284">
      <c r="A284" s="3" t="n"/>
      <c r="B284" s="3" t="n"/>
      <c r="C284" s="10">
        <f>IF(B284="","",IFERROR(VLOOKUP(B284,Catalogo!$A:$F,2,FALSE),"CODIGO NO ENCONTRADO"))</f>
        <v/>
      </c>
      <c r="D284" s="10">
        <f>IF(B284="","",IFERROR(VLOOKUP(B284,Catalogo!$A:$F,4,FALSE),""))</f>
        <v/>
      </c>
      <c r="E284" s="3" t="n"/>
      <c r="F284" s="11">
        <f>IF(B284="","",IFERROR(VLOOKUP(B284,Catalogo!$A:$F,6,FALSE),0))</f>
        <v/>
      </c>
      <c r="G284" s="11">
        <f>IF(B284="","",E284*F284)</f>
        <v/>
      </c>
      <c r="H284" s="3" t="n"/>
    </row>
    <row r="285">
      <c r="A285" s="3" t="n"/>
      <c r="B285" s="3" t="n"/>
      <c r="C285" s="10">
        <f>IF(B285="","",IFERROR(VLOOKUP(B285,Catalogo!$A:$F,2,FALSE),"CODIGO NO ENCONTRADO"))</f>
        <v/>
      </c>
      <c r="D285" s="10">
        <f>IF(B285="","",IFERROR(VLOOKUP(B285,Catalogo!$A:$F,4,FALSE),""))</f>
        <v/>
      </c>
      <c r="E285" s="3" t="n"/>
      <c r="F285" s="11">
        <f>IF(B285="","",IFERROR(VLOOKUP(B285,Catalogo!$A:$F,6,FALSE),0))</f>
        <v/>
      </c>
      <c r="G285" s="11">
        <f>IF(B285="","",E285*F285)</f>
        <v/>
      </c>
      <c r="H285" s="3" t="n"/>
    </row>
    <row r="286">
      <c r="A286" s="3" t="n"/>
      <c r="B286" s="3" t="n"/>
      <c r="C286" s="10">
        <f>IF(B286="","",IFERROR(VLOOKUP(B286,Catalogo!$A:$F,2,FALSE),"CODIGO NO ENCONTRADO"))</f>
        <v/>
      </c>
      <c r="D286" s="10">
        <f>IF(B286="","",IFERROR(VLOOKUP(B286,Catalogo!$A:$F,4,FALSE),""))</f>
        <v/>
      </c>
      <c r="E286" s="3" t="n"/>
      <c r="F286" s="11">
        <f>IF(B286="","",IFERROR(VLOOKUP(B286,Catalogo!$A:$F,6,FALSE),0))</f>
        <v/>
      </c>
      <c r="G286" s="11">
        <f>IF(B286="","",E286*F286)</f>
        <v/>
      </c>
      <c r="H286" s="3" t="n"/>
    </row>
    <row r="287">
      <c r="A287" s="3" t="n"/>
      <c r="B287" s="3" t="n"/>
      <c r="C287" s="10">
        <f>IF(B287="","",IFERROR(VLOOKUP(B287,Catalogo!$A:$F,2,FALSE),"CODIGO NO ENCONTRADO"))</f>
        <v/>
      </c>
      <c r="D287" s="10">
        <f>IF(B287="","",IFERROR(VLOOKUP(B287,Catalogo!$A:$F,4,FALSE),""))</f>
        <v/>
      </c>
      <c r="E287" s="3" t="n"/>
      <c r="F287" s="11">
        <f>IF(B287="","",IFERROR(VLOOKUP(B287,Catalogo!$A:$F,6,FALSE),0))</f>
        <v/>
      </c>
      <c r="G287" s="11">
        <f>IF(B287="","",E287*F287)</f>
        <v/>
      </c>
      <c r="H287" s="3" t="n"/>
    </row>
    <row r="288">
      <c r="A288" s="3" t="n"/>
      <c r="B288" s="3" t="n"/>
      <c r="C288" s="10">
        <f>IF(B288="","",IFERROR(VLOOKUP(B288,Catalogo!$A:$F,2,FALSE),"CODIGO NO ENCONTRADO"))</f>
        <v/>
      </c>
      <c r="D288" s="10">
        <f>IF(B288="","",IFERROR(VLOOKUP(B288,Catalogo!$A:$F,4,FALSE),""))</f>
        <v/>
      </c>
      <c r="E288" s="3" t="n"/>
      <c r="F288" s="11">
        <f>IF(B288="","",IFERROR(VLOOKUP(B288,Catalogo!$A:$F,6,FALSE),0))</f>
        <v/>
      </c>
      <c r="G288" s="11">
        <f>IF(B288="","",E288*F288)</f>
        <v/>
      </c>
      <c r="H288" s="3" t="n"/>
    </row>
    <row r="289">
      <c r="A289" s="3" t="n"/>
      <c r="B289" s="3" t="n"/>
      <c r="C289" s="10">
        <f>IF(B289="","",IFERROR(VLOOKUP(B289,Catalogo!$A:$F,2,FALSE),"CODIGO NO ENCONTRADO"))</f>
        <v/>
      </c>
      <c r="D289" s="10">
        <f>IF(B289="","",IFERROR(VLOOKUP(B289,Catalogo!$A:$F,4,FALSE),""))</f>
        <v/>
      </c>
      <c r="E289" s="3" t="n"/>
      <c r="F289" s="11">
        <f>IF(B289="","",IFERROR(VLOOKUP(B289,Catalogo!$A:$F,6,FALSE),0))</f>
        <v/>
      </c>
      <c r="G289" s="11">
        <f>IF(B289="","",E289*F289)</f>
        <v/>
      </c>
      <c r="H289" s="3" t="n"/>
    </row>
    <row r="290">
      <c r="A290" s="3" t="n"/>
      <c r="B290" s="3" t="n"/>
      <c r="C290" s="10">
        <f>IF(B290="","",IFERROR(VLOOKUP(B290,Catalogo!$A:$F,2,FALSE),"CODIGO NO ENCONTRADO"))</f>
        <v/>
      </c>
      <c r="D290" s="10">
        <f>IF(B290="","",IFERROR(VLOOKUP(B290,Catalogo!$A:$F,4,FALSE),""))</f>
        <v/>
      </c>
      <c r="E290" s="3" t="n"/>
      <c r="F290" s="11">
        <f>IF(B290="","",IFERROR(VLOOKUP(B290,Catalogo!$A:$F,6,FALSE),0))</f>
        <v/>
      </c>
      <c r="G290" s="11">
        <f>IF(B290="","",E290*F290)</f>
        <v/>
      </c>
      <c r="H290" s="3" t="n"/>
    </row>
    <row r="291">
      <c r="A291" s="3" t="n"/>
      <c r="B291" s="3" t="n"/>
      <c r="C291" s="10">
        <f>IF(B291="","",IFERROR(VLOOKUP(B291,Catalogo!$A:$F,2,FALSE),"CODIGO NO ENCONTRADO"))</f>
        <v/>
      </c>
      <c r="D291" s="10">
        <f>IF(B291="","",IFERROR(VLOOKUP(B291,Catalogo!$A:$F,4,FALSE),""))</f>
        <v/>
      </c>
      <c r="E291" s="3" t="n"/>
      <c r="F291" s="11">
        <f>IF(B291="","",IFERROR(VLOOKUP(B291,Catalogo!$A:$F,6,FALSE),0))</f>
        <v/>
      </c>
      <c r="G291" s="11">
        <f>IF(B291="","",E291*F291)</f>
        <v/>
      </c>
      <c r="H291" s="3" t="n"/>
    </row>
    <row r="292">
      <c r="A292" s="3" t="n"/>
      <c r="B292" s="3" t="n"/>
      <c r="C292" s="10">
        <f>IF(B292="","",IFERROR(VLOOKUP(B292,Catalogo!$A:$F,2,FALSE),"CODIGO NO ENCONTRADO"))</f>
        <v/>
      </c>
      <c r="D292" s="10">
        <f>IF(B292="","",IFERROR(VLOOKUP(B292,Catalogo!$A:$F,4,FALSE),""))</f>
        <v/>
      </c>
      <c r="E292" s="3" t="n"/>
      <c r="F292" s="11">
        <f>IF(B292="","",IFERROR(VLOOKUP(B292,Catalogo!$A:$F,6,FALSE),0))</f>
        <v/>
      </c>
      <c r="G292" s="11">
        <f>IF(B292="","",E292*F292)</f>
        <v/>
      </c>
      <c r="H292" s="3" t="n"/>
    </row>
    <row r="293">
      <c r="A293" s="3" t="n"/>
      <c r="B293" s="3" t="n"/>
      <c r="C293" s="10">
        <f>IF(B293="","",IFERROR(VLOOKUP(B293,Catalogo!$A:$F,2,FALSE),"CODIGO NO ENCONTRADO"))</f>
        <v/>
      </c>
      <c r="D293" s="10">
        <f>IF(B293="","",IFERROR(VLOOKUP(B293,Catalogo!$A:$F,4,FALSE),""))</f>
        <v/>
      </c>
      <c r="E293" s="3" t="n"/>
      <c r="F293" s="11">
        <f>IF(B293="","",IFERROR(VLOOKUP(B293,Catalogo!$A:$F,6,FALSE),0))</f>
        <v/>
      </c>
      <c r="G293" s="11">
        <f>IF(B293="","",E293*F293)</f>
        <v/>
      </c>
      <c r="H293" s="3" t="n"/>
    </row>
    <row r="294">
      <c r="A294" s="3" t="n"/>
      <c r="B294" s="3" t="n"/>
      <c r="C294" s="10">
        <f>IF(B294="","",IFERROR(VLOOKUP(B294,Catalogo!$A:$F,2,FALSE),"CODIGO NO ENCONTRADO"))</f>
        <v/>
      </c>
      <c r="D294" s="10">
        <f>IF(B294="","",IFERROR(VLOOKUP(B294,Catalogo!$A:$F,4,FALSE),""))</f>
        <v/>
      </c>
      <c r="E294" s="3" t="n"/>
      <c r="F294" s="11">
        <f>IF(B294="","",IFERROR(VLOOKUP(B294,Catalogo!$A:$F,6,FALSE),0))</f>
        <v/>
      </c>
      <c r="G294" s="11">
        <f>IF(B294="","",E294*F294)</f>
        <v/>
      </c>
      <c r="H294" s="3" t="n"/>
    </row>
    <row r="295">
      <c r="A295" s="3" t="n"/>
      <c r="B295" s="3" t="n"/>
      <c r="C295" s="10">
        <f>IF(B295="","",IFERROR(VLOOKUP(B295,Catalogo!$A:$F,2,FALSE),"CODIGO NO ENCONTRADO"))</f>
        <v/>
      </c>
      <c r="D295" s="10">
        <f>IF(B295="","",IFERROR(VLOOKUP(B295,Catalogo!$A:$F,4,FALSE),""))</f>
        <v/>
      </c>
      <c r="E295" s="3" t="n"/>
      <c r="F295" s="11">
        <f>IF(B295="","",IFERROR(VLOOKUP(B295,Catalogo!$A:$F,6,FALSE),0))</f>
        <v/>
      </c>
      <c r="G295" s="11">
        <f>IF(B295="","",E295*F295)</f>
        <v/>
      </c>
      <c r="H295" s="3" t="n"/>
    </row>
    <row r="296">
      <c r="A296" s="3" t="n"/>
      <c r="B296" s="3" t="n"/>
      <c r="C296" s="10">
        <f>IF(B296="","",IFERROR(VLOOKUP(B296,Catalogo!$A:$F,2,FALSE),"CODIGO NO ENCONTRADO"))</f>
        <v/>
      </c>
      <c r="D296" s="10">
        <f>IF(B296="","",IFERROR(VLOOKUP(B296,Catalogo!$A:$F,4,FALSE),""))</f>
        <v/>
      </c>
      <c r="E296" s="3" t="n"/>
      <c r="F296" s="11">
        <f>IF(B296="","",IFERROR(VLOOKUP(B296,Catalogo!$A:$F,6,FALSE),0))</f>
        <v/>
      </c>
      <c r="G296" s="11">
        <f>IF(B296="","",E296*F296)</f>
        <v/>
      </c>
      <c r="H296" s="3" t="n"/>
    </row>
    <row r="297">
      <c r="A297" s="3" t="n"/>
      <c r="B297" s="3" t="n"/>
      <c r="C297" s="10">
        <f>IF(B297="","",IFERROR(VLOOKUP(B297,Catalogo!$A:$F,2,FALSE),"CODIGO NO ENCONTRADO"))</f>
        <v/>
      </c>
      <c r="D297" s="10">
        <f>IF(B297="","",IFERROR(VLOOKUP(B297,Catalogo!$A:$F,4,FALSE),""))</f>
        <v/>
      </c>
      <c r="E297" s="3" t="n"/>
      <c r="F297" s="11">
        <f>IF(B297="","",IFERROR(VLOOKUP(B297,Catalogo!$A:$F,6,FALSE),0))</f>
        <v/>
      </c>
      <c r="G297" s="11">
        <f>IF(B297="","",E297*F297)</f>
        <v/>
      </c>
      <c r="H297" s="3" t="n"/>
    </row>
    <row r="298">
      <c r="A298" s="3" t="n"/>
      <c r="B298" s="3" t="n"/>
      <c r="C298" s="10">
        <f>IF(B298="","",IFERROR(VLOOKUP(B298,Catalogo!$A:$F,2,FALSE),"CODIGO NO ENCONTRADO"))</f>
        <v/>
      </c>
      <c r="D298" s="10">
        <f>IF(B298="","",IFERROR(VLOOKUP(B298,Catalogo!$A:$F,4,FALSE),""))</f>
        <v/>
      </c>
      <c r="E298" s="3" t="n"/>
      <c r="F298" s="11">
        <f>IF(B298="","",IFERROR(VLOOKUP(B298,Catalogo!$A:$F,6,FALSE),0))</f>
        <v/>
      </c>
      <c r="G298" s="11">
        <f>IF(B298="","",E298*F298)</f>
        <v/>
      </c>
      <c r="H298" s="3" t="n"/>
    </row>
    <row r="299">
      <c r="A299" s="3" t="n"/>
      <c r="B299" s="3" t="n"/>
      <c r="C299" s="10">
        <f>IF(B299="","",IFERROR(VLOOKUP(B299,Catalogo!$A:$F,2,FALSE),"CODIGO NO ENCONTRADO"))</f>
        <v/>
      </c>
      <c r="D299" s="10">
        <f>IF(B299="","",IFERROR(VLOOKUP(B299,Catalogo!$A:$F,4,FALSE),""))</f>
        <v/>
      </c>
      <c r="E299" s="3" t="n"/>
      <c r="F299" s="11">
        <f>IF(B299="","",IFERROR(VLOOKUP(B299,Catalogo!$A:$F,6,FALSE),0))</f>
        <v/>
      </c>
      <c r="G299" s="11">
        <f>IF(B299="","",E299*F299)</f>
        <v/>
      </c>
      <c r="H299" s="3" t="n"/>
    </row>
    <row r="300">
      <c r="A300" s="3" t="n"/>
      <c r="B300" s="3" t="n"/>
      <c r="C300" s="10">
        <f>IF(B300="","",IFERROR(VLOOKUP(B300,Catalogo!$A:$F,2,FALSE),"CODIGO NO ENCONTRADO"))</f>
        <v/>
      </c>
      <c r="D300" s="10">
        <f>IF(B300="","",IFERROR(VLOOKUP(B300,Catalogo!$A:$F,4,FALSE),""))</f>
        <v/>
      </c>
      <c r="E300" s="3" t="n"/>
      <c r="F300" s="11">
        <f>IF(B300="","",IFERROR(VLOOKUP(B300,Catalogo!$A:$F,6,FALSE),0))</f>
        <v/>
      </c>
      <c r="G300" s="11">
        <f>IF(B300="","",E300*F300)</f>
        <v/>
      </c>
      <c r="H300" s="3" t="n"/>
    </row>
    <row r="301">
      <c r="A301" s="3" t="n"/>
      <c r="B301" s="3" t="n"/>
      <c r="C301" s="10">
        <f>IF(B301="","",IFERROR(VLOOKUP(B301,Catalogo!$A:$F,2,FALSE),"CODIGO NO ENCONTRADO"))</f>
        <v/>
      </c>
      <c r="D301" s="10">
        <f>IF(B301="","",IFERROR(VLOOKUP(B301,Catalogo!$A:$F,4,FALSE),""))</f>
        <v/>
      </c>
      <c r="E301" s="3" t="n"/>
      <c r="F301" s="11">
        <f>IF(B301="","",IFERROR(VLOOKUP(B301,Catalogo!$A:$F,6,FALSE),0))</f>
        <v/>
      </c>
      <c r="G301" s="11">
        <f>IF(B301="","",E301*F301)</f>
        <v/>
      </c>
      <c r="H30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2" t="inlineStr">
        <is>
          <t>Costo directo</t>
        </is>
      </c>
      <c r="B1" s="13">
        <f>SUM(Presupuesto!G2:G301)</f>
        <v/>
      </c>
    </row>
    <row r="2">
      <c r="A2" s="12" t="inlineStr">
        <is>
          <t>Administracion</t>
        </is>
      </c>
      <c r="B2" s="13">
        <f>B1*Proyecto!B8</f>
        <v/>
      </c>
    </row>
    <row r="3">
      <c r="A3" s="12" t="inlineStr">
        <is>
          <t>Imprevistos</t>
        </is>
      </c>
      <c r="B3" s="13">
        <f>B1*Proyecto!B9</f>
        <v/>
      </c>
    </row>
    <row r="4">
      <c r="A4" s="12" t="inlineStr">
        <is>
          <t>Utilidad</t>
        </is>
      </c>
      <c r="B4" s="13">
        <f>B1*Proyecto!B10</f>
        <v/>
      </c>
    </row>
    <row r="5">
      <c r="A5" s="2" t="inlineStr">
        <is>
          <t>Subtotal</t>
        </is>
      </c>
      <c r="B5" s="13">
        <f>SUM(B1:B4)</f>
        <v/>
      </c>
    </row>
    <row r="6">
      <c r="A6" s="12" t="inlineStr">
        <is>
          <t>IVA</t>
        </is>
      </c>
      <c r="B6" s="13">
        <f>IF(Proyecto!B12="SI",B4*Proyecto!B11,B5*Proyecto!B11)</f>
        <v/>
      </c>
    </row>
    <row r="7">
      <c r="A7" s="14" t="inlineStr">
        <is>
          <t>TOTAL</t>
        </is>
      </c>
      <c r="B7" s="15">
        <f>B5+B6</f>
        <v/>
      </c>
    </row>
    <row r="8">
      <c r="A8" s="12" t="inlineStr">
        <is>
          <t>Anticipo</t>
        </is>
      </c>
      <c r="B8" s="13">
        <f>B7*Proyecto!B13</f>
        <v/>
      </c>
    </row>
    <row r="10">
      <c r="A10" s="2" t="inlineStr">
        <is>
          <t>Costo directo por capitulo</t>
        </is>
      </c>
    </row>
    <row r="11">
      <c r="A11" s="8" t="n"/>
      <c r="B11" s="13">
        <f>IF(A11="","",SUMIF(Presupuesto!$A$2:$A$301,A11,Presupuesto!$G$2:$G$301))</f>
        <v/>
      </c>
    </row>
    <row r="12">
      <c r="A12" s="8" t="n"/>
      <c r="B12" s="13">
        <f>IF(A12="","",SUMIF(Presupuesto!$A$2:$A$301,A12,Presupuesto!$G$2:$G$301))</f>
        <v/>
      </c>
    </row>
    <row r="13">
      <c r="A13" s="8" t="n"/>
      <c r="B13" s="13">
        <f>IF(A13="","",SUMIF(Presupuesto!$A$2:$A$301,A13,Presupuesto!$G$2:$G$301))</f>
        <v/>
      </c>
    </row>
    <row r="14">
      <c r="A14" s="8" t="n"/>
      <c r="B14" s="13">
        <f>IF(A14="","",SUMIF(Presupuesto!$A$2:$A$301,A14,Presupuesto!$G$2:$G$301))</f>
        <v/>
      </c>
    </row>
    <row r="15">
      <c r="A15" s="8" t="n"/>
      <c r="B15" s="13">
        <f>IF(A15="","",SUMIF(Presupuesto!$A$2:$A$301,A15,Presupuesto!$G$2:$G$301))</f>
        <v/>
      </c>
    </row>
    <row r="16">
      <c r="A16" s="8" t="n"/>
      <c r="B16" s="13">
        <f>IF(A16="","",SUMIF(Presupuesto!$A$2:$A$301,A16,Presupuesto!$G$2:$G$301))</f>
        <v/>
      </c>
    </row>
    <row r="17">
      <c r="A17" s="8" t="n"/>
      <c r="B17" s="13">
        <f>IF(A17="","",SUMIF(Presupuesto!$A$2:$A$301,A17,Presupuesto!$G$2:$G$301))</f>
        <v/>
      </c>
    </row>
    <row r="18">
      <c r="A18" s="8" t="n"/>
      <c r="B18" s="13">
        <f>IF(A18="","",SUMIF(Presupuesto!$A$2:$A$301,A18,Presupuesto!$G$2:$G$301))</f>
        <v/>
      </c>
    </row>
    <row r="19">
      <c r="A19" s="8" t="n"/>
      <c r="B19" s="13">
        <f>IF(A19="","",SUMIF(Presupuesto!$A$2:$A$301,A19,Presupuesto!$G$2:$G$301))</f>
        <v/>
      </c>
    </row>
    <row r="20">
      <c r="A20" s="8" t="n"/>
      <c r="B20" s="13">
        <f>IF(A20="","",SUMIF(Presupuesto!$A$2:$A$301,A20,Presupuesto!$G$2:$G$301))</f>
        <v/>
      </c>
    </row>
    <row r="21">
      <c r="A21" s="8" t="n"/>
      <c r="B21" s="13">
        <f>IF(A21="","",SUMIF(Presupuesto!$A$2:$A$301,A21,Presupuesto!$G$2:$G$301))</f>
        <v/>
      </c>
    </row>
    <row r="22">
      <c r="A22" s="8" t="n"/>
      <c r="B22" s="13">
        <f>IF(A22="","",SUMIF(Presupuesto!$A$2:$A$301,A22,Presupuesto!$G$2:$G$301))</f>
        <v/>
      </c>
    </row>
    <row r="23">
      <c r="A23" s="8" t="n"/>
      <c r="B23" s="13">
        <f>IF(A23="","",SUMIF(Presupuesto!$A$2:$A$301,A23,Presupuesto!$G$2:$G$301))</f>
        <v/>
      </c>
    </row>
    <row r="24">
      <c r="A24" s="8" t="n"/>
      <c r="B24" s="13">
        <f>IF(A24="","",SUMIF(Presupuesto!$A$2:$A$301,A24,Presupuesto!$G$2:$G$301))</f>
        <v/>
      </c>
    </row>
    <row r="25">
      <c r="A25" s="8" t="n"/>
      <c r="B25" s="13">
        <f>IF(A25="","",SUMIF(Presupuesto!$A$2:$A$301,A25,Presupuesto!$G$2:$G$301))</f>
        <v/>
      </c>
    </row>
    <row r="26">
      <c r="A26" s="8" t="n"/>
      <c r="B26" s="13">
        <f>IF(A26="","",SUMIF(Presupuesto!$A$2:$A$301,A26,Presupuesto!$G$2:$G$301))</f>
        <v/>
      </c>
    </row>
    <row r="27">
      <c r="A27" s="8" t="n"/>
      <c r="B27" s="13">
        <f>IF(A27="","",SUMIF(Presupuesto!$A$2:$A$301,A27,Presupuesto!$G$2:$G$301))</f>
        <v/>
      </c>
    </row>
    <row r="28">
      <c r="A28" s="8" t="n"/>
      <c r="B28" s="13">
        <f>IF(A28="","",SUMIF(Presupuesto!$A$2:$A$301,A28,Presupuesto!$G$2:$G$301))</f>
        <v/>
      </c>
    </row>
    <row r="29">
      <c r="A29" s="8" t="n"/>
      <c r="B29" s="13">
        <f>IF(A29="","",SUMIF(Presupuesto!$A$2:$A$301,A29,Presupuesto!$G$2:$G$301))</f>
        <v/>
      </c>
    </row>
    <row r="30">
      <c r="A30" s="8" t="n"/>
      <c r="B30" s="13">
        <f>IF(A30="","",SUMIF(Presupuesto!$A$2:$A$301,A30,Presupuesto!$G$2:$G$301))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1" customWidth="1" min="3" max="3"/>
    <col width="11" customWidth="1" min="4" max="4"/>
    <col width="10" customWidth="1" min="5" max="5"/>
    <col width="12" customWidth="1" min="6" max="6"/>
    <col width="12" customWidth="1" min="7" max="7"/>
    <col width="12" customWidth="1" min="8" max="8"/>
    <col width="30" customWidth="1" min="9" max="9"/>
    <col width="22" customWidth="1" min="11" max="11"/>
  </cols>
  <sheetData>
    <row r="1">
      <c r="A1" s="6" t="inlineStr">
        <is>
          <t>Mueble / Elemento</t>
        </is>
      </c>
      <c r="B1" s="6" t="inlineStr">
        <is>
          <t>Material (codigo)</t>
        </is>
      </c>
      <c r="C1" s="6" t="inlineStr">
        <is>
          <t>Largo mm</t>
        </is>
      </c>
      <c r="D1" s="6" t="inlineStr">
        <is>
          <t>Ancho mm</t>
        </is>
      </c>
      <c r="E1" s="6" t="inlineStr">
        <is>
          <t>Cantidad</t>
        </is>
      </c>
      <c r="F1" s="6" t="inlineStr">
        <is>
          <t>Rota? (SI/NO)</t>
        </is>
      </c>
      <c r="G1" s="6" t="inlineStr">
        <is>
          <t>Canto largo</t>
        </is>
      </c>
      <c r="H1" s="6" t="inlineStr">
        <is>
          <t>Canto ancho</t>
        </is>
      </c>
      <c r="I1" s="6" t="inlineStr">
        <is>
          <t>Notas</t>
        </is>
      </c>
      <c r="K1" t="inlineStr">
        <is>
          <t>Lamina estandar (mm)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K2" t="inlineStr">
        <is>
          <t>Largo</t>
        </is>
      </c>
      <c r="L2" t="n">
        <v>2440</v>
      </c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K3" t="inlineStr">
        <is>
          <t>Ancho</t>
        </is>
      </c>
      <c r="L3" t="n">
        <v>1830</v>
      </c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K4" t="inlineStr">
        <is>
          <t>Espesor sierra</t>
        </is>
      </c>
      <c r="L4" t="n">
        <v>4</v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14" customWidth="1" min="3" max="3"/>
    <col width="16" customWidth="1" min="4" max="4"/>
    <col width="16" customWidth="1" min="5" max="5"/>
  </cols>
  <sheetData>
    <row r="1">
      <c r="A1" s="6" t="inlineStr">
        <is>
          <t>Order Lines/Product</t>
        </is>
      </c>
      <c r="B1" s="6" t="inlineStr">
        <is>
          <t>Order Lines/Description</t>
        </is>
      </c>
      <c r="C1" s="6" t="inlineStr">
        <is>
          <t>Order Lines/Quantity</t>
        </is>
      </c>
      <c r="D1" s="6" t="inlineStr">
        <is>
          <t>Order Lines/Unit Price</t>
        </is>
      </c>
      <c r="E1" s="6" t="inlineStr">
        <is>
          <t>Order Lines/Unit of Measure</t>
        </is>
      </c>
      <c r="G1" t="inlineStr">
        <is>
          <t>Nota: al importar, el nombre del producto debe coincidir con Odoo; ajustaremos columnas cuando exporte un ejemplo de su Odoo.</t>
        </is>
      </c>
    </row>
    <row r="2">
      <c r="A2">
        <f>IF(Presupuesto!B2="","",Presupuesto!B2)</f>
        <v/>
      </c>
      <c r="B2">
        <f>IF(Presupuesto!B2="","",Presupuesto!C2)</f>
        <v/>
      </c>
      <c r="C2">
        <f>IF(Presupuesto!B2="","",Presupuesto!E2)</f>
        <v/>
      </c>
      <c r="D2">
        <f>IF(Presupuesto!B2="","",Presupuesto!F2)</f>
        <v/>
      </c>
      <c r="E2">
        <f>IF(Presupuesto!B2="","",Presupuesto!D2)</f>
        <v/>
      </c>
    </row>
    <row r="3">
      <c r="A3">
        <f>IF(Presupuesto!B3="","",Presupuesto!B3)</f>
        <v/>
      </c>
      <c r="B3">
        <f>IF(Presupuesto!B3="","",Presupuesto!C3)</f>
        <v/>
      </c>
      <c r="C3">
        <f>IF(Presupuesto!B3="","",Presupuesto!E3)</f>
        <v/>
      </c>
      <c r="D3">
        <f>IF(Presupuesto!B3="","",Presupuesto!F3)</f>
        <v/>
      </c>
      <c r="E3">
        <f>IF(Presupuesto!B3="","",Presupuesto!D3)</f>
        <v/>
      </c>
    </row>
    <row r="4">
      <c r="A4">
        <f>IF(Presupuesto!B4="","",Presupuesto!B4)</f>
        <v/>
      </c>
      <c r="B4">
        <f>IF(Presupuesto!B4="","",Presupuesto!C4)</f>
        <v/>
      </c>
      <c r="C4">
        <f>IF(Presupuesto!B4="","",Presupuesto!E4)</f>
        <v/>
      </c>
      <c r="D4">
        <f>IF(Presupuesto!B4="","",Presupuesto!F4)</f>
        <v/>
      </c>
      <c r="E4">
        <f>IF(Presupuesto!B4="","",Presupuesto!D4)</f>
        <v/>
      </c>
    </row>
    <row r="5">
      <c r="A5">
        <f>IF(Presupuesto!B5="","",Presupuesto!B5)</f>
        <v/>
      </c>
      <c r="B5">
        <f>IF(Presupuesto!B5="","",Presupuesto!C5)</f>
        <v/>
      </c>
      <c r="C5">
        <f>IF(Presupuesto!B5="","",Presupuesto!E5)</f>
        <v/>
      </c>
      <c r="D5">
        <f>IF(Presupuesto!B5="","",Presupuesto!F5)</f>
        <v/>
      </c>
      <c r="E5">
        <f>IF(Presupuesto!B5="","",Presupuesto!D5)</f>
        <v/>
      </c>
    </row>
    <row r="6">
      <c r="A6">
        <f>IF(Presupuesto!B6="","",Presupuesto!B6)</f>
        <v/>
      </c>
      <c r="B6">
        <f>IF(Presupuesto!B6="","",Presupuesto!C6)</f>
        <v/>
      </c>
      <c r="C6">
        <f>IF(Presupuesto!B6="","",Presupuesto!E6)</f>
        <v/>
      </c>
      <c r="D6">
        <f>IF(Presupuesto!B6="","",Presupuesto!F6)</f>
        <v/>
      </c>
      <c r="E6">
        <f>IF(Presupuesto!B6="","",Presupuesto!D6)</f>
        <v/>
      </c>
    </row>
    <row r="7">
      <c r="A7">
        <f>IF(Presupuesto!B7="","",Presupuesto!B7)</f>
        <v/>
      </c>
      <c r="B7">
        <f>IF(Presupuesto!B7="","",Presupuesto!C7)</f>
        <v/>
      </c>
      <c r="C7">
        <f>IF(Presupuesto!B7="","",Presupuesto!E7)</f>
        <v/>
      </c>
      <c r="D7">
        <f>IF(Presupuesto!B7="","",Presupuesto!F7)</f>
        <v/>
      </c>
      <c r="E7">
        <f>IF(Presupuesto!B7="","",Presupuesto!D7)</f>
        <v/>
      </c>
    </row>
    <row r="8">
      <c r="A8">
        <f>IF(Presupuesto!B8="","",Presupuesto!B8)</f>
        <v/>
      </c>
      <c r="B8">
        <f>IF(Presupuesto!B8="","",Presupuesto!C8)</f>
        <v/>
      </c>
      <c r="C8">
        <f>IF(Presupuesto!B8="","",Presupuesto!E8)</f>
        <v/>
      </c>
      <c r="D8">
        <f>IF(Presupuesto!B8="","",Presupuesto!F8)</f>
        <v/>
      </c>
      <c r="E8">
        <f>IF(Presupuesto!B8="","",Presupuesto!D8)</f>
        <v/>
      </c>
    </row>
    <row r="9">
      <c r="A9">
        <f>IF(Presupuesto!B9="","",Presupuesto!B9)</f>
        <v/>
      </c>
      <c r="B9">
        <f>IF(Presupuesto!B9="","",Presupuesto!C9)</f>
        <v/>
      </c>
      <c r="C9">
        <f>IF(Presupuesto!B9="","",Presupuesto!E9)</f>
        <v/>
      </c>
      <c r="D9">
        <f>IF(Presupuesto!B9="","",Presupuesto!F9)</f>
        <v/>
      </c>
      <c r="E9">
        <f>IF(Presupuesto!B9="","",Presupuesto!D9)</f>
        <v/>
      </c>
    </row>
    <row r="10">
      <c r="A10">
        <f>IF(Presupuesto!B10="","",Presupuesto!B10)</f>
        <v/>
      </c>
      <c r="B10">
        <f>IF(Presupuesto!B10="","",Presupuesto!C10)</f>
        <v/>
      </c>
      <c r="C10">
        <f>IF(Presupuesto!B10="","",Presupuesto!E10)</f>
        <v/>
      </c>
      <c r="D10">
        <f>IF(Presupuesto!B10="","",Presupuesto!F10)</f>
        <v/>
      </c>
      <c r="E10">
        <f>IF(Presupuesto!B10="","",Presupuesto!D10)</f>
        <v/>
      </c>
    </row>
    <row r="11">
      <c r="A11">
        <f>IF(Presupuesto!B11="","",Presupuesto!B11)</f>
        <v/>
      </c>
      <c r="B11">
        <f>IF(Presupuesto!B11="","",Presupuesto!C11)</f>
        <v/>
      </c>
      <c r="C11">
        <f>IF(Presupuesto!B11="","",Presupuesto!E11)</f>
        <v/>
      </c>
      <c r="D11">
        <f>IF(Presupuesto!B11="","",Presupuesto!F11)</f>
        <v/>
      </c>
      <c r="E11">
        <f>IF(Presupuesto!B11="","",Presupuesto!D11)</f>
        <v/>
      </c>
    </row>
    <row r="12">
      <c r="A12">
        <f>IF(Presupuesto!B12="","",Presupuesto!B12)</f>
        <v/>
      </c>
      <c r="B12">
        <f>IF(Presupuesto!B12="","",Presupuesto!C12)</f>
        <v/>
      </c>
      <c r="C12">
        <f>IF(Presupuesto!B12="","",Presupuesto!E12)</f>
        <v/>
      </c>
      <c r="D12">
        <f>IF(Presupuesto!B12="","",Presupuesto!F12)</f>
        <v/>
      </c>
      <c r="E12">
        <f>IF(Presupuesto!B12="","",Presupuesto!D12)</f>
        <v/>
      </c>
    </row>
    <row r="13">
      <c r="A13">
        <f>IF(Presupuesto!B13="","",Presupuesto!B13)</f>
        <v/>
      </c>
      <c r="B13">
        <f>IF(Presupuesto!B13="","",Presupuesto!C13)</f>
        <v/>
      </c>
      <c r="C13">
        <f>IF(Presupuesto!B13="","",Presupuesto!E13)</f>
        <v/>
      </c>
      <c r="D13">
        <f>IF(Presupuesto!B13="","",Presupuesto!F13)</f>
        <v/>
      </c>
      <c r="E13">
        <f>IF(Presupuesto!B13="","",Presupuesto!D13)</f>
        <v/>
      </c>
    </row>
    <row r="14">
      <c r="A14">
        <f>IF(Presupuesto!B14="","",Presupuesto!B14)</f>
        <v/>
      </c>
      <c r="B14">
        <f>IF(Presupuesto!B14="","",Presupuesto!C14)</f>
        <v/>
      </c>
      <c r="C14">
        <f>IF(Presupuesto!B14="","",Presupuesto!E14)</f>
        <v/>
      </c>
      <c r="D14">
        <f>IF(Presupuesto!B14="","",Presupuesto!F14)</f>
        <v/>
      </c>
      <c r="E14">
        <f>IF(Presupuesto!B14="","",Presupuesto!D14)</f>
        <v/>
      </c>
    </row>
    <row r="15">
      <c r="A15">
        <f>IF(Presupuesto!B15="","",Presupuesto!B15)</f>
        <v/>
      </c>
      <c r="B15">
        <f>IF(Presupuesto!B15="","",Presupuesto!C15)</f>
        <v/>
      </c>
      <c r="C15">
        <f>IF(Presupuesto!B15="","",Presupuesto!E15)</f>
        <v/>
      </c>
      <c r="D15">
        <f>IF(Presupuesto!B15="","",Presupuesto!F15)</f>
        <v/>
      </c>
      <c r="E15">
        <f>IF(Presupuesto!B15="","",Presupuesto!D15)</f>
        <v/>
      </c>
    </row>
    <row r="16">
      <c r="A16">
        <f>IF(Presupuesto!B16="","",Presupuesto!B16)</f>
        <v/>
      </c>
      <c r="B16">
        <f>IF(Presupuesto!B16="","",Presupuesto!C16)</f>
        <v/>
      </c>
      <c r="C16">
        <f>IF(Presupuesto!B16="","",Presupuesto!E16)</f>
        <v/>
      </c>
      <c r="D16">
        <f>IF(Presupuesto!B16="","",Presupuesto!F16)</f>
        <v/>
      </c>
      <c r="E16">
        <f>IF(Presupuesto!B16="","",Presupuesto!D16)</f>
        <v/>
      </c>
    </row>
    <row r="17">
      <c r="A17">
        <f>IF(Presupuesto!B17="","",Presupuesto!B17)</f>
        <v/>
      </c>
      <c r="B17">
        <f>IF(Presupuesto!B17="","",Presupuesto!C17)</f>
        <v/>
      </c>
      <c r="C17">
        <f>IF(Presupuesto!B17="","",Presupuesto!E17)</f>
        <v/>
      </c>
      <c r="D17">
        <f>IF(Presupuesto!B17="","",Presupuesto!F17)</f>
        <v/>
      </c>
      <c r="E17">
        <f>IF(Presupuesto!B17="","",Presupuesto!D17)</f>
        <v/>
      </c>
    </row>
    <row r="18">
      <c r="A18">
        <f>IF(Presupuesto!B18="","",Presupuesto!B18)</f>
        <v/>
      </c>
      <c r="B18">
        <f>IF(Presupuesto!B18="","",Presupuesto!C18)</f>
        <v/>
      </c>
      <c r="C18">
        <f>IF(Presupuesto!B18="","",Presupuesto!E18)</f>
        <v/>
      </c>
      <c r="D18">
        <f>IF(Presupuesto!B18="","",Presupuesto!F18)</f>
        <v/>
      </c>
      <c r="E18">
        <f>IF(Presupuesto!B18="","",Presupuesto!D18)</f>
        <v/>
      </c>
    </row>
    <row r="19">
      <c r="A19">
        <f>IF(Presupuesto!B19="","",Presupuesto!B19)</f>
        <v/>
      </c>
      <c r="B19">
        <f>IF(Presupuesto!B19="","",Presupuesto!C19)</f>
        <v/>
      </c>
      <c r="C19">
        <f>IF(Presupuesto!B19="","",Presupuesto!E19)</f>
        <v/>
      </c>
      <c r="D19">
        <f>IF(Presupuesto!B19="","",Presupuesto!F19)</f>
        <v/>
      </c>
      <c r="E19">
        <f>IF(Presupuesto!B19="","",Presupuesto!D19)</f>
        <v/>
      </c>
    </row>
    <row r="20">
      <c r="A20">
        <f>IF(Presupuesto!B20="","",Presupuesto!B20)</f>
        <v/>
      </c>
      <c r="B20">
        <f>IF(Presupuesto!B20="","",Presupuesto!C20)</f>
        <v/>
      </c>
      <c r="C20">
        <f>IF(Presupuesto!B20="","",Presupuesto!E20)</f>
        <v/>
      </c>
      <c r="D20">
        <f>IF(Presupuesto!B20="","",Presupuesto!F20)</f>
        <v/>
      </c>
      <c r="E20">
        <f>IF(Presupuesto!B20="","",Presupuesto!D20)</f>
        <v/>
      </c>
    </row>
    <row r="21">
      <c r="A21">
        <f>IF(Presupuesto!B21="","",Presupuesto!B21)</f>
        <v/>
      </c>
      <c r="B21">
        <f>IF(Presupuesto!B21="","",Presupuesto!C21)</f>
        <v/>
      </c>
      <c r="C21">
        <f>IF(Presupuesto!B21="","",Presupuesto!E21)</f>
        <v/>
      </c>
      <c r="D21">
        <f>IF(Presupuesto!B21="","",Presupuesto!F21)</f>
        <v/>
      </c>
      <c r="E21">
        <f>IF(Presupuesto!B21="","",Presupuesto!D21)</f>
        <v/>
      </c>
    </row>
    <row r="22">
      <c r="A22">
        <f>IF(Presupuesto!B22="","",Presupuesto!B22)</f>
        <v/>
      </c>
      <c r="B22">
        <f>IF(Presupuesto!B22="","",Presupuesto!C22)</f>
        <v/>
      </c>
      <c r="C22">
        <f>IF(Presupuesto!B22="","",Presupuesto!E22)</f>
        <v/>
      </c>
      <c r="D22">
        <f>IF(Presupuesto!B22="","",Presupuesto!F22)</f>
        <v/>
      </c>
      <c r="E22">
        <f>IF(Presupuesto!B22="","",Presupuesto!D22)</f>
        <v/>
      </c>
    </row>
    <row r="23">
      <c r="A23">
        <f>IF(Presupuesto!B23="","",Presupuesto!B23)</f>
        <v/>
      </c>
      <c r="B23">
        <f>IF(Presupuesto!B23="","",Presupuesto!C23)</f>
        <v/>
      </c>
      <c r="C23">
        <f>IF(Presupuesto!B23="","",Presupuesto!E23)</f>
        <v/>
      </c>
      <c r="D23">
        <f>IF(Presupuesto!B23="","",Presupuesto!F23)</f>
        <v/>
      </c>
      <c r="E23">
        <f>IF(Presupuesto!B23="","",Presupuesto!D23)</f>
        <v/>
      </c>
    </row>
    <row r="24">
      <c r="A24">
        <f>IF(Presupuesto!B24="","",Presupuesto!B24)</f>
        <v/>
      </c>
      <c r="B24">
        <f>IF(Presupuesto!B24="","",Presupuesto!C24)</f>
        <v/>
      </c>
      <c r="C24">
        <f>IF(Presupuesto!B24="","",Presupuesto!E24)</f>
        <v/>
      </c>
      <c r="D24">
        <f>IF(Presupuesto!B24="","",Presupuesto!F24)</f>
        <v/>
      </c>
      <c r="E24">
        <f>IF(Presupuesto!B24="","",Presupuesto!D24)</f>
        <v/>
      </c>
    </row>
    <row r="25">
      <c r="A25">
        <f>IF(Presupuesto!B25="","",Presupuesto!B25)</f>
        <v/>
      </c>
      <c r="B25">
        <f>IF(Presupuesto!B25="","",Presupuesto!C25)</f>
        <v/>
      </c>
      <c r="C25">
        <f>IF(Presupuesto!B25="","",Presupuesto!E25)</f>
        <v/>
      </c>
      <c r="D25">
        <f>IF(Presupuesto!B25="","",Presupuesto!F25)</f>
        <v/>
      </c>
      <c r="E25">
        <f>IF(Presupuesto!B25="","",Presupuesto!D25)</f>
        <v/>
      </c>
    </row>
    <row r="26">
      <c r="A26">
        <f>IF(Presupuesto!B26="","",Presupuesto!B26)</f>
        <v/>
      </c>
      <c r="B26">
        <f>IF(Presupuesto!B26="","",Presupuesto!C26)</f>
        <v/>
      </c>
      <c r="C26">
        <f>IF(Presupuesto!B26="","",Presupuesto!E26)</f>
        <v/>
      </c>
      <c r="D26">
        <f>IF(Presupuesto!B26="","",Presupuesto!F26)</f>
        <v/>
      </c>
      <c r="E26">
        <f>IF(Presupuesto!B26="","",Presupuesto!D26)</f>
        <v/>
      </c>
    </row>
    <row r="27">
      <c r="A27">
        <f>IF(Presupuesto!B27="","",Presupuesto!B27)</f>
        <v/>
      </c>
      <c r="B27">
        <f>IF(Presupuesto!B27="","",Presupuesto!C27)</f>
        <v/>
      </c>
      <c r="C27">
        <f>IF(Presupuesto!B27="","",Presupuesto!E27)</f>
        <v/>
      </c>
      <c r="D27">
        <f>IF(Presupuesto!B27="","",Presupuesto!F27)</f>
        <v/>
      </c>
      <c r="E27">
        <f>IF(Presupuesto!B27="","",Presupuesto!D27)</f>
        <v/>
      </c>
    </row>
    <row r="28">
      <c r="A28">
        <f>IF(Presupuesto!B28="","",Presupuesto!B28)</f>
        <v/>
      </c>
      <c r="B28">
        <f>IF(Presupuesto!B28="","",Presupuesto!C28)</f>
        <v/>
      </c>
      <c r="C28">
        <f>IF(Presupuesto!B28="","",Presupuesto!E28)</f>
        <v/>
      </c>
      <c r="D28">
        <f>IF(Presupuesto!B28="","",Presupuesto!F28)</f>
        <v/>
      </c>
      <c r="E28">
        <f>IF(Presupuesto!B28="","",Presupuesto!D28)</f>
        <v/>
      </c>
    </row>
    <row r="29">
      <c r="A29">
        <f>IF(Presupuesto!B29="","",Presupuesto!B29)</f>
        <v/>
      </c>
      <c r="B29">
        <f>IF(Presupuesto!B29="","",Presupuesto!C29)</f>
        <v/>
      </c>
      <c r="C29">
        <f>IF(Presupuesto!B29="","",Presupuesto!E29)</f>
        <v/>
      </c>
      <c r="D29">
        <f>IF(Presupuesto!B29="","",Presupuesto!F29)</f>
        <v/>
      </c>
      <c r="E29">
        <f>IF(Presupuesto!B29="","",Presupuesto!D29)</f>
        <v/>
      </c>
    </row>
    <row r="30">
      <c r="A30">
        <f>IF(Presupuesto!B30="","",Presupuesto!B30)</f>
        <v/>
      </c>
      <c r="B30">
        <f>IF(Presupuesto!B30="","",Presupuesto!C30)</f>
        <v/>
      </c>
      <c r="C30">
        <f>IF(Presupuesto!B30="","",Presupuesto!E30)</f>
        <v/>
      </c>
      <c r="D30">
        <f>IF(Presupuesto!B30="","",Presupuesto!F30)</f>
        <v/>
      </c>
      <c r="E30">
        <f>IF(Presupuesto!B30="","",Presupuesto!D30)</f>
        <v/>
      </c>
    </row>
    <row r="31">
      <c r="A31">
        <f>IF(Presupuesto!B31="","",Presupuesto!B31)</f>
        <v/>
      </c>
      <c r="B31">
        <f>IF(Presupuesto!B31="","",Presupuesto!C31)</f>
        <v/>
      </c>
      <c r="C31">
        <f>IF(Presupuesto!B31="","",Presupuesto!E31)</f>
        <v/>
      </c>
      <c r="D31">
        <f>IF(Presupuesto!B31="","",Presupuesto!F31)</f>
        <v/>
      </c>
      <c r="E31">
        <f>IF(Presupuesto!B31="","",Presupuesto!D31)</f>
        <v/>
      </c>
    </row>
    <row r="32">
      <c r="A32">
        <f>IF(Presupuesto!B32="","",Presupuesto!B32)</f>
        <v/>
      </c>
      <c r="B32">
        <f>IF(Presupuesto!B32="","",Presupuesto!C32)</f>
        <v/>
      </c>
      <c r="C32">
        <f>IF(Presupuesto!B32="","",Presupuesto!E32)</f>
        <v/>
      </c>
      <c r="D32">
        <f>IF(Presupuesto!B32="","",Presupuesto!F32)</f>
        <v/>
      </c>
      <c r="E32">
        <f>IF(Presupuesto!B32="","",Presupuesto!D32)</f>
        <v/>
      </c>
    </row>
    <row r="33">
      <c r="A33">
        <f>IF(Presupuesto!B33="","",Presupuesto!B33)</f>
        <v/>
      </c>
      <c r="B33">
        <f>IF(Presupuesto!B33="","",Presupuesto!C33)</f>
        <v/>
      </c>
      <c r="C33">
        <f>IF(Presupuesto!B33="","",Presupuesto!E33)</f>
        <v/>
      </c>
      <c r="D33">
        <f>IF(Presupuesto!B33="","",Presupuesto!F33)</f>
        <v/>
      </c>
      <c r="E33">
        <f>IF(Presupuesto!B33="","",Presupuesto!D33)</f>
        <v/>
      </c>
    </row>
    <row r="34">
      <c r="A34">
        <f>IF(Presupuesto!B34="","",Presupuesto!B34)</f>
        <v/>
      </c>
      <c r="B34">
        <f>IF(Presupuesto!B34="","",Presupuesto!C34)</f>
        <v/>
      </c>
      <c r="C34">
        <f>IF(Presupuesto!B34="","",Presupuesto!E34)</f>
        <v/>
      </c>
      <c r="D34">
        <f>IF(Presupuesto!B34="","",Presupuesto!F34)</f>
        <v/>
      </c>
      <c r="E34">
        <f>IF(Presupuesto!B34="","",Presupuesto!D34)</f>
        <v/>
      </c>
    </row>
    <row r="35">
      <c r="A35">
        <f>IF(Presupuesto!B35="","",Presupuesto!B35)</f>
        <v/>
      </c>
      <c r="B35">
        <f>IF(Presupuesto!B35="","",Presupuesto!C35)</f>
        <v/>
      </c>
      <c r="C35">
        <f>IF(Presupuesto!B35="","",Presupuesto!E35)</f>
        <v/>
      </c>
      <c r="D35">
        <f>IF(Presupuesto!B35="","",Presupuesto!F35)</f>
        <v/>
      </c>
      <c r="E35">
        <f>IF(Presupuesto!B35="","",Presupuesto!D35)</f>
        <v/>
      </c>
    </row>
    <row r="36">
      <c r="A36">
        <f>IF(Presupuesto!B36="","",Presupuesto!B36)</f>
        <v/>
      </c>
      <c r="B36">
        <f>IF(Presupuesto!B36="","",Presupuesto!C36)</f>
        <v/>
      </c>
      <c r="C36">
        <f>IF(Presupuesto!B36="","",Presupuesto!E36)</f>
        <v/>
      </c>
      <c r="D36">
        <f>IF(Presupuesto!B36="","",Presupuesto!F36)</f>
        <v/>
      </c>
      <c r="E36">
        <f>IF(Presupuesto!B36="","",Presupuesto!D36)</f>
        <v/>
      </c>
    </row>
    <row r="37">
      <c r="A37">
        <f>IF(Presupuesto!B37="","",Presupuesto!B37)</f>
        <v/>
      </c>
      <c r="B37">
        <f>IF(Presupuesto!B37="","",Presupuesto!C37)</f>
        <v/>
      </c>
      <c r="C37">
        <f>IF(Presupuesto!B37="","",Presupuesto!E37)</f>
        <v/>
      </c>
      <c r="D37">
        <f>IF(Presupuesto!B37="","",Presupuesto!F37)</f>
        <v/>
      </c>
      <c r="E37">
        <f>IF(Presupuesto!B37="","",Presupuesto!D37)</f>
        <v/>
      </c>
    </row>
    <row r="38">
      <c r="A38">
        <f>IF(Presupuesto!B38="","",Presupuesto!B38)</f>
        <v/>
      </c>
      <c r="B38">
        <f>IF(Presupuesto!B38="","",Presupuesto!C38)</f>
        <v/>
      </c>
      <c r="C38">
        <f>IF(Presupuesto!B38="","",Presupuesto!E38)</f>
        <v/>
      </c>
      <c r="D38">
        <f>IF(Presupuesto!B38="","",Presupuesto!F38)</f>
        <v/>
      </c>
      <c r="E38">
        <f>IF(Presupuesto!B38="","",Presupuesto!D38)</f>
        <v/>
      </c>
    </row>
    <row r="39">
      <c r="A39">
        <f>IF(Presupuesto!B39="","",Presupuesto!B39)</f>
        <v/>
      </c>
      <c r="B39">
        <f>IF(Presupuesto!B39="","",Presupuesto!C39)</f>
        <v/>
      </c>
      <c r="C39">
        <f>IF(Presupuesto!B39="","",Presupuesto!E39)</f>
        <v/>
      </c>
      <c r="D39">
        <f>IF(Presupuesto!B39="","",Presupuesto!F39)</f>
        <v/>
      </c>
      <c r="E39">
        <f>IF(Presupuesto!B39="","",Presupuesto!D39)</f>
        <v/>
      </c>
    </row>
    <row r="40">
      <c r="A40">
        <f>IF(Presupuesto!B40="","",Presupuesto!B40)</f>
        <v/>
      </c>
      <c r="B40">
        <f>IF(Presupuesto!B40="","",Presupuesto!C40)</f>
        <v/>
      </c>
      <c r="C40">
        <f>IF(Presupuesto!B40="","",Presupuesto!E40)</f>
        <v/>
      </c>
      <c r="D40">
        <f>IF(Presupuesto!B40="","",Presupuesto!F40)</f>
        <v/>
      </c>
      <c r="E40">
        <f>IF(Presupuesto!B40="","",Presupuesto!D40)</f>
        <v/>
      </c>
    </row>
    <row r="41">
      <c r="A41">
        <f>IF(Presupuesto!B41="","",Presupuesto!B41)</f>
        <v/>
      </c>
      <c r="B41">
        <f>IF(Presupuesto!B41="","",Presupuesto!C41)</f>
        <v/>
      </c>
      <c r="C41">
        <f>IF(Presupuesto!B41="","",Presupuesto!E41)</f>
        <v/>
      </c>
      <c r="D41">
        <f>IF(Presupuesto!B41="","",Presupuesto!F41)</f>
        <v/>
      </c>
      <c r="E41">
        <f>IF(Presupuesto!B41="","",Presupuesto!D41)</f>
        <v/>
      </c>
    </row>
    <row r="42">
      <c r="A42">
        <f>IF(Presupuesto!B42="","",Presupuesto!B42)</f>
        <v/>
      </c>
      <c r="B42">
        <f>IF(Presupuesto!B42="","",Presupuesto!C42)</f>
        <v/>
      </c>
      <c r="C42">
        <f>IF(Presupuesto!B42="","",Presupuesto!E42)</f>
        <v/>
      </c>
      <c r="D42">
        <f>IF(Presupuesto!B42="","",Presupuesto!F42)</f>
        <v/>
      </c>
      <c r="E42">
        <f>IF(Presupuesto!B42="","",Presupuesto!D42)</f>
        <v/>
      </c>
    </row>
    <row r="43">
      <c r="A43">
        <f>IF(Presupuesto!B43="","",Presupuesto!B43)</f>
        <v/>
      </c>
      <c r="B43">
        <f>IF(Presupuesto!B43="","",Presupuesto!C43)</f>
        <v/>
      </c>
      <c r="C43">
        <f>IF(Presupuesto!B43="","",Presupuesto!E43)</f>
        <v/>
      </c>
      <c r="D43">
        <f>IF(Presupuesto!B43="","",Presupuesto!F43)</f>
        <v/>
      </c>
      <c r="E43">
        <f>IF(Presupuesto!B43="","",Presupuesto!D43)</f>
        <v/>
      </c>
    </row>
    <row r="44">
      <c r="A44">
        <f>IF(Presupuesto!B44="","",Presupuesto!B44)</f>
        <v/>
      </c>
      <c r="B44">
        <f>IF(Presupuesto!B44="","",Presupuesto!C44)</f>
        <v/>
      </c>
      <c r="C44">
        <f>IF(Presupuesto!B44="","",Presupuesto!E44)</f>
        <v/>
      </c>
      <c r="D44">
        <f>IF(Presupuesto!B44="","",Presupuesto!F44)</f>
        <v/>
      </c>
      <c r="E44">
        <f>IF(Presupuesto!B44="","",Presupuesto!D44)</f>
        <v/>
      </c>
    </row>
    <row r="45">
      <c r="A45">
        <f>IF(Presupuesto!B45="","",Presupuesto!B45)</f>
        <v/>
      </c>
      <c r="B45">
        <f>IF(Presupuesto!B45="","",Presupuesto!C45)</f>
        <v/>
      </c>
      <c r="C45">
        <f>IF(Presupuesto!B45="","",Presupuesto!E45)</f>
        <v/>
      </c>
      <c r="D45">
        <f>IF(Presupuesto!B45="","",Presupuesto!F45)</f>
        <v/>
      </c>
      <c r="E45">
        <f>IF(Presupuesto!B45="","",Presupuesto!D45)</f>
        <v/>
      </c>
    </row>
    <row r="46">
      <c r="A46">
        <f>IF(Presupuesto!B46="","",Presupuesto!B46)</f>
        <v/>
      </c>
      <c r="B46">
        <f>IF(Presupuesto!B46="","",Presupuesto!C46)</f>
        <v/>
      </c>
      <c r="C46">
        <f>IF(Presupuesto!B46="","",Presupuesto!E46)</f>
        <v/>
      </c>
      <c r="D46">
        <f>IF(Presupuesto!B46="","",Presupuesto!F46)</f>
        <v/>
      </c>
      <c r="E46">
        <f>IF(Presupuesto!B46="","",Presupuesto!D46)</f>
        <v/>
      </c>
    </row>
    <row r="47">
      <c r="A47">
        <f>IF(Presupuesto!B47="","",Presupuesto!B47)</f>
        <v/>
      </c>
      <c r="B47">
        <f>IF(Presupuesto!B47="","",Presupuesto!C47)</f>
        <v/>
      </c>
      <c r="C47">
        <f>IF(Presupuesto!B47="","",Presupuesto!E47)</f>
        <v/>
      </c>
      <c r="D47">
        <f>IF(Presupuesto!B47="","",Presupuesto!F47)</f>
        <v/>
      </c>
      <c r="E47">
        <f>IF(Presupuesto!B47="","",Presupuesto!D47)</f>
        <v/>
      </c>
    </row>
    <row r="48">
      <c r="A48">
        <f>IF(Presupuesto!B48="","",Presupuesto!B48)</f>
        <v/>
      </c>
      <c r="B48">
        <f>IF(Presupuesto!B48="","",Presupuesto!C48)</f>
        <v/>
      </c>
      <c r="C48">
        <f>IF(Presupuesto!B48="","",Presupuesto!E48)</f>
        <v/>
      </c>
      <c r="D48">
        <f>IF(Presupuesto!B48="","",Presupuesto!F48)</f>
        <v/>
      </c>
      <c r="E48">
        <f>IF(Presupuesto!B48="","",Presupuesto!D48)</f>
        <v/>
      </c>
    </row>
    <row r="49">
      <c r="A49">
        <f>IF(Presupuesto!B49="","",Presupuesto!B49)</f>
        <v/>
      </c>
      <c r="B49">
        <f>IF(Presupuesto!B49="","",Presupuesto!C49)</f>
        <v/>
      </c>
      <c r="C49">
        <f>IF(Presupuesto!B49="","",Presupuesto!E49)</f>
        <v/>
      </c>
      <c r="D49">
        <f>IF(Presupuesto!B49="","",Presupuesto!F49)</f>
        <v/>
      </c>
      <c r="E49">
        <f>IF(Presupuesto!B49="","",Presupuesto!D49)</f>
        <v/>
      </c>
    </row>
    <row r="50">
      <c r="A50">
        <f>IF(Presupuesto!B50="","",Presupuesto!B50)</f>
        <v/>
      </c>
      <c r="B50">
        <f>IF(Presupuesto!B50="","",Presupuesto!C50)</f>
        <v/>
      </c>
      <c r="C50">
        <f>IF(Presupuesto!B50="","",Presupuesto!E50)</f>
        <v/>
      </c>
      <c r="D50">
        <f>IF(Presupuesto!B50="","",Presupuesto!F50)</f>
        <v/>
      </c>
      <c r="E50">
        <f>IF(Presupuesto!B50="","",Presupuesto!D50)</f>
        <v/>
      </c>
    </row>
    <row r="51">
      <c r="A51">
        <f>IF(Presupuesto!B51="","",Presupuesto!B51)</f>
        <v/>
      </c>
      <c r="B51">
        <f>IF(Presupuesto!B51="","",Presupuesto!C51)</f>
        <v/>
      </c>
      <c r="C51">
        <f>IF(Presupuesto!B51="","",Presupuesto!E51)</f>
        <v/>
      </c>
      <c r="D51">
        <f>IF(Presupuesto!B51="","",Presupuesto!F51)</f>
        <v/>
      </c>
      <c r="E51">
        <f>IF(Presupuesto!B51="","",Presupuesto!D51)</f>
        <v/>
      </c>
    </row>
    <row r="52">
      <c r="A52">
        <f>IF(Presupuesto!B52="","",Presupuesto!B52)</f>
        <v/>
      </c>
      <c r="B52">
        <f>IF(Presupuesto!B52="","",Presupuesto!C52)</f>
        <v/>
      </c>
      <c r="C52">
        <f>IF(Presupuesto!B52="","",Presupuesto!E52)</f>
        <v/>
      </c>
      <c r="D52">
        <f>IF(Presupuesto!B52="","",Presupuesto!F52)</f>
        <v/>
      </c>
      <c r="E52">
        <f>IF(Presupuesto!B52="","",Presupuesto!D52)</f>
        <v/>
      </c>
    </row>
    <row r="53">
      <c r="A53">
        <f>IF(Presupuesto!B53="","",Presupuesto!B53)</f>
        <v/>
      </c>
      <c r="B53">
        <f>IF(Presupuesto!B53="","",Presupuesto!C53)</f>
        <v/>
      </c>
      <c r="C53">
        <f>IF(Presupuesto!B53="","",Presupuesto!E53)</f>
        <v/>
      </c>
      <c r="D53">
        <f>IF(Presupuesto!B53="","",Presupuesto!F53)</f>
        <v/>
      </c>
      <c r="E53">
        <f>IF(Presupuesto!B53="","",Presupuesto!D53)</f>
        <v/>
      </c>
    </row>
    <row r="54">
      <c r="A54">
        <f>IF(Presupuesto!B54="","",Presupuesto!B54)</f>
        <v/>
      </c>
      <c r="B54">
        <f>IF(Presupuesto!B54="","",Presupuesto!C54)</f>
        <v/>
      </c>
      <c r="C54">
        <f>IF(Presupuesto!B54="","",Presupuesto!E54)</f>
        <v/>
      </c>
      <c r="D54">
        <f>IF(Presupuesto!B54="","",Presupuesto!F54)</f>
        <v/>
      </c>
      <c r="E54">
        <f>IF(Presupuesto!B54="","",Presupuesto!D54)</f>
        <v/>
      </c>
    </row>
    <row r="55">
      <c r="A55">
        <f>IF(Presupuesto!B55="","",Presupuesto!B55)</f>
        <v/>
      </c>
      <c r="B55">
        <f>IF(Presupuesto!B55="","",Presupuesto!C55)</f>
        <v/>
      </c>
      <c r="C55">
        <f>IF(Presupuesto!B55="","",Presupuesto!E55)</f>
        <v/>
      </c>
      <c r="D55">
        <f>IF(Presupuesto!B55="","",Presupuesto!F55)</f>
        <v/>
      </c>
      <c r="E55">
        <f>IF(Presupuesto!B55="","",Presupuesto!D55)</f>
        <v/>
      </c>
    </row>
    <row r="56">
      <c r="A56">
        <f>IF(Presupuesto!B56="","",Presupuesto!B56)</f>
        <v/>
      </c>
      <c r="B56">
        <f>IF(Presupuesto!B56="","",Presupuesto!C56)</f>
        <v/>
      </c>
      <c r="C56">
        <f>IF(Presupuesto!B56="","",Presupuesto!E56)</f>
        <v/>
      </c>
      <c r="D56">
        <f>IF(Presupuesto!B56="","",Presupuesto!F56)</f>
        <v/>
      </c>
      <c r="E56">
        <f>IF(Presupuesto!B56="","",Presupuesto!D56)</f>
        <v/>
      </c>
    </row>
    <row r="57">
      <c r="A57">
        <f>IF(Presupuesto!B57="","",Presupuesto!B57)</f>
        <v/>
      </c>
      <c r="B57">
        <f>IF(Presupuesto!B57="","",Presupuesto!C57)</f>
        <v/>
      </c>
      <c r="C57">
        <f>IF(Presupuesto!B57="","",Presupuesto!E57)</f>
        <v/>
      </c>
      <c r="D57">
        <f>IF(Presupuesto!B57="","",Presupuesto!F57)</f>
        <v/>
      </c>
      <c r="E57">
        <f>IF(Presupuesto!B57="","",Presupuesto!D57)</f>
        <v/>
      </c>
    </row>
    <row r="58">
      <c r="A58">
        <f>IF(Presupuesto!B58="","",Presupuesto!B58)</f>
        <v/>
      </c>
      <c r="B58">
        <f>IF(Presupuesto!B58="","",Presupuesto!C58)</f>
        <v/>
      </c>
      <c r="C58">
        <f>IF(Presupuesto!B58="","",Presupuesto!E58)</f>
        <v/>
      </c>
      <c r="D58">
        <f>IF(Presupuesto!B58="","",Presupuesto!F58)</f>
        <v/>
      </c>
      <c r="E58">
        <f>IF(Presupuesto!B58="","",Presupuesto!D58)</f>
        <v/>
      </c>
    </row>
    <row r="59">
      <c r="A59">
        <f>IF(Presupuesto!B59="","",Presupuesto!B59)</f>
        <v/>
      </c>
      <c r="B59">
        <f>IF(Presupuesto!B59="","",Presupuesto!C59)</f>
        <v/>
      </c>
      <c r="C59">
        <f>IF(Presupuesto!B59="","",Presupuesto!E59)</f>
        <v/>
      </c>
      <c r="D59">
        <f>IF(Presupuesto!B59="","",Presupuesto!F59)</f>
        <v/>
      </c>
      <c r="E59">
        <f>IF(Presupuesto!B59="","",Presupuesto!D59)</f>
        <v/>
      </c>
    </row>
    <row r="60">
      <c r="A60">
        <f>IF(Presupuesto!B60="","",Presupuesto!B60)</f>
        <v/>
      </c>
      <c r="B60">
        <f>IF(Presupuesto!B60="","",Presupuesto!C60)</f>
        <v/>
      </c>
      <c r="C60">
        <f>IF(Presupuesto!B60="","",Presupuesto!E60)</f>
        <v/>
      </c>
      <c r="D60">
        <f>IF(Presupuesto!B60="","",Presupuesto!F60)</f>
        <v/>
      </c>
      <c r="E60">
        <f>IF(Presupuesto!B60="","",Presupuesto!D60)</f>
        <v/>
      </c>
    </row>
    <row r="61">
      <c r="A61">
        <f>IF(Presupuesto!B61="","",Presupuesto!B61)</f>
        <v/>
      </c>
      <c r="B61">
        <f>IF(Presupuesto!B61="","",Presupuesto!C61)</f>
        <v/>
      </c>
      <c r="C61">
        <f>IF(Presupuesto!B61="","",Presupuesto!E61)</f>
        <v/>
      </c>
      <c r="D61">
        <f>IF(Presupuesto!B61="","",Presupuesto!F61)</f>
        <v/>
      </c>
      <c r="E61">
        <f>IF(Presupuesto!B61="","",Presupuesto!D61)</f>
        <v/>
      </c>
    </row>
    <row r="62">
      <c r="A62">
        <f>IF(Presupuesto!B62="","",Presupuesto!B62)</f>
        <v/>
      </c>
      <c r="B62">
        <f>IF(Presupuesto!B62="","",Presupuesto!C62)</f>
        <v/>
      </c>
      <c r="C62">
        <f>IF(Presupuesto!B62="","",Presupuesto!E62)</f>
        <v/>
      </c>
      <c r="D62">
        <f>IF(Presupuesto!B62="","",Presupuesto!F62)</f>
        <v/>
      </c>
      <c r="E62">
        <f>IF(Presupuesto!B62="","",Presupuesto!D62)</f>
        <v/>
      </c>
    </row>
    <row r="63">
      <c r="A63">
        <f>IF(Presupuesto!B63="","",Presupuesto!B63)</f>
        <v/>
      </c>
      <c r="B63">
        <f>IF(Presupuesto!B63="","",Presupuesto!C63)</f>
        <v/>
      </c>
      <c r="C63">
        <f>IF(Presupuesto!B63="","",Presupuesto!E63)</f>
        <v/>
      </c>
      <c r="D63">
        <f>IF(Presupuesto!B63="","",Presupuesto!F63)</f>
        <v/>
      </c>
      <c r="E63">
        <f>IF(Presupuesto!B63="","",Presupuesto!D63)</f>
        <v/>
      </c>
    </row>
    <row r="64">
      <c r="A64">
        <f>IF(Presupuesto!B64="","",Presupuesto!B64)</f>
        <v/>
      </c>
      <c r="B64">
        <f>IF(Presupuesto!B64="","",Presupuesto!C64)</f>
        <v/>
      </c>
      <c r="C64">
        <f>IF(Presupuesto!B64="","",Presupuesto!E64)</f>
        <v/>
      </c>
      <c r="D64">
        <f>IF(Presupuesto!B64="","",Presupuesto!F64)</f>
        <v/>
      </c>
      <c r="E64">
        <f>IF(Presupuesto!B64="","",Presupuesto!D64)</f>
        <v/>
      </c>
    </row>
    <row r="65">
      <c r="A65">
        <f>IF(Presupuesto!B65="","",Presupuesto!B65)</f>
        <v/>
      </c>
      <c r="B65">
        <f>IF(Presupuesto!B65="","",Presupuesto!C65)</f>
        <v/>
      </c>
      <c r="C65">
        <f>IF(Presupuesto!B65="","",Presupuesto!E65)</f>
        <v/>
      </c>
      <c r="D65">
        <f>IF(Presupuesto!B65="","",Presupuesto!F65)</f>
        <v/>
      </c>
      <c r="E65">
        <f>IF(Presupuesto!B65="","",Presupuesto!D65)</f>
        <v/>
      </c>
    </row>
    <row r="66">
      <c r="A66">
        <f>IF(Presupuesto!B66="","",Presupuesto!B66)</f>
        <v/>
      </c>
      <c r="B66">
        <f>IF(Presupuesto!B66="","",Presupuesto!C66)</f>
        <v/>
      </c>
      <c r="C66">
        <f>IF(Presupuesto!B66="","",Presupuesto!E66)</f>
        <v/>
      </c>
      <c r="D66">
        <f>IF(Presupuesto!B66="","",Presupuesto!F66)</f>
        <v/>
      </c>
      <c r="E66">
        <f>IF(Presupuesto!B66="","",Presupuesto!D66)</f>
        <v/>
      </c>
    </row>
    <row r="67">
      <c r="A67">
        <f>IF(Presupuesto!B67="","",Presupuesto!B67)</f>
        <v/>
      </c>
      <c r="B67">
        <f>IF(Presupuesto!B67="","",Presupuesto!C67)</f>
        <v/>
      </c>
      <c r="C67">
        <f>IF(Presupuesto!B67="","",Presupuesto!E67)</f>
        <v/>
      </c>
      <c r="D67">
        <f>IF(Presupuesto!B67="","",Presupuesto!F67)</f>
        <v/>
      </c>
      <c r="E67">
        <f>IF(Presupuesto!B67="","",Presupuesto!D67)</f>
        <v/>
      </c>
    </row>
    <row r="68">
      <c r="A68">
        <f>IF(Presupuesto!B68="","",Presupuesto!B68)</f>
        <v/>
      </c>
      <c r="B68">
        <f>IF(Presupuesto!B68="","",Presupuesto!C68)</f>
        <v/>
      </c>
      <c r="C68">
        <f>IF(Presupuesto!B68="","",Presupuesto!E68)</f>
        <v/>
      </c>
      <c r="D68">
        <f>IF(Presupuesto!B68="","",Presupuesto!F68)</f>
        <v/>
      </c>
      <c r="E68">
        <f>IF(Presupuesto!B68="","",Presupuesto!D68)</f>
        <v/>
      </c>
    </row>
    <row r="69">
      <c r="A69">
        <f>IF(Presupuesto!B69="","",Presupuesto!B69)</f>
        <v/>
      </c>
      <c r="B69">
        <f>IF(Presupuesto!B69="","",Presupuesto!C69)</f>
        <v/>
      </c>
      <c r="C69">
        <f>IF(Presupuesto!B69="","",Presupuesto!E69)</f>
        <v/>
      </c>
      <c r="D69">
        <f>IF(Presupuesto!B69="","",Presupuesto!F69)</f>
        <v/>
      </c>
      <c r="E69">
        <f>IF(Presupuesto!B69="","",Presupuesto!D69)</f>
        <v/>
      </c>
    </row>
    <row r="70">
      <c r="A70">
        <f>IF(Presupuesto!B70="","",Presupuesto!B70)</f>
        <v/>
      </c>
      <c r="B70">
        <f>IF(Presupuesto!B70="","",Presupuesto!C70)</f>
        <v/>
      </c>
      <c r="C70">
        <f>IF(Presupuesto!B70="","",Presupuesto!E70)</f>
        <v/>
      </c>
      <c r="D70">
        <f>IF(Presupuesto!B70="","",Presupuesto!F70)</f>
        <v/>
      </c>
      <c r="E70">
        <f>IF(Presupuesto!B70="","",Presupuesto!D70)</f>
        <v/>
      </c>
    </row>
    <row r="71">
      <c r="A71">
        <f>IF(Presupuesto!B71="","",Presupuesto!B71)</f>
        <v/>
      </c>
      <c r="B71">
        <f>IF(Presupuesto!B71="","",Presupuesto!C71)</f>
        <v/>
      </c>
      <c r="C71">
        <f>IF(Presupuesto!B71="","",Presupuesto!E71)</f>
        <v/>
      </c>
      <c r="D71">
        <f>IF(Presupuesto!B71="","",Presupuesto!F71)</f>
        <v/>
      </c>
      <c r="E71">
        <f>IF(Presupuesto!B71="","",Presupuesto!D71)</f>
        <v/>
      </c>
    </row>
    <row r="72">
      <c r="A72">
        <f>IF(Presupuesto!B72="","",Presupuesto!B72)</f>
        <v/>
      </c>
      <c r="B72">
        <f>IF(Presupuesto!B72="","",Presupuesto!C72)</f>
        <v/>
      </c>
      <c r="C72">
        <f>IF(Presupuesto!B72="","",Presupuesto!E72)</f>
        <v/>
      </c>
      <c r="D72">
        <f>IF(Presupuesto!B72="","",Presupuesto!F72)</f>
        <v/>
      </c>
      <c r="E72">
        <f>IF(Presupuesto!B72="","",Presupuesto!D72)</f>
        <v/>
      </c>
    </row>
    <row r="73">
      <c r="A73">
        <f>IF(Presupuesto!B73="","",Presupuesto!B73)</f>
        <v/>
      </c>
      <c r="B73">
        <f>IF(Presupuesto!B73="","",Presupuesto!C73)</f>
        <v/>
      </c>
      <c r="C73">
        <f>IF(Presupuesto!B73="","",Presupuesto!E73)</f>
        <v/>
      </c>
      <c r="D73">
        <f>IF(Presupuesto!B73="","",Presupuesto!F73)</f>
        <v/>
      </c>
      <c r="E73">
        <f>IF(Presupuesto!B73="","",Presupuesto!D73)</f>
        <v/>
      </c>
    </row>
    <row r="74">
      <c r="A74">
        <f>IF(Presupuesto!B74="","",Presupuesto!B74)</f>
        <v/>
      </c>
      <c r="B74">
        <f>IF(Presupuesto!B74="","",Presupuesto!C74)</f>
        <v/>
      </c>
      <c r="C74">
        <f>IF(Presupuesto!B74="","",Presupuesto!E74)</f>
        <v/>
      </c>
      <c r="D74">
        <f>IF(Presupuesto!B74="","",Presupuesto!F74)</f>
        <v/>
      </c>
      <c r="E74">
        <f>IF(Presupuesto!B74="","",Presupuesto!D74)</f>
        <v/>
      </c>
    </row>
    <row r="75">
      <c r="A75">
        <f>IF(Presupuesto!B75="","",Presupuesto!B75)</f>
        <v/>
      </c>
      <c r="B75">
        <f>IF(Presupuesto!B75="","",Presupuesto!C75)</f>
        <v/>
      </c>
      <c r="C75">
        <f>IF(Presupuesto!B75="","",Presupuesto!E75)</f>
        <v/>
      </c>
      <c r="D75">
        <f>IF(Presupuesto!B75="","",Presupuesto!F75)</f>
        <v/>
      </c>
      <c r="E75">
        <f>IF(Presupuesto!B75="","",Presupuesto!D75)</f>
        <v/>
      </c>
    </row>
    <row r="76">
      <c r="A76">
        <f>IF(Presupuesto!B76="","",Presupuesto!B76)</f>
        <v/>
      </c>
      <c r="B76">
        <f>IF(Presupuesto!B76="","",Presupuesto!C76)</f>
        <v/>
      </c>
      <c r="C76">
        <f>IF(Presupuesto!B76="","",Presupuesto!E76)</f>
        <v/>
      </c>
      <c r="D76">
        <f>IF(Presupuesto!B76="","",Presupuesto!F76)</f>
        <v/>
      </c>
      <c r="E76">
        <f>IF(Presupuesto!B76="","",Presupuesto!D76)</f>
        <v/>
      </c>
    </row>
    <row r="77">
      <c r="A77">
        <f>IF(Presupuesto!B77="","",Presupuesto!B77)</f>
        <v/>
      </c>
      <c r="B77">
        <f>IF(Presupuesto!B77="","",Presupuesto!C77)</f>
        <v/>
      </c>
      <c r="C77">
        <f>IF(Presupuesto!B77="","",Presupuesto!E77)</f>
        <v/>
      </c>
      <c r="D77">
        <f>IF(Presupuesto!B77="","",Presupuesto!F77)</f>
        <v/>
      </c>
      <c r="E77">
        <f>IF(Presupuesto!B77="","",Presupuesto!D77)</f>
        <v/>
      </c>
    </row>
    <row r="78">
      <c r="A78">
        <f>IF(Presupuesto!B78="","",Presupuesto!B78)</f>
        <v/>
      </c>
      <c r="B78">
        <f>IF(Presupuesto!B78="","",Presupuesto!C78)</f>
        <v/>
      </c>
      <c r="C78">
        <f>IF(Presupuesto!B78="","",Presupuesto!E78)</f>
        <v/>
      </c>
      <c r="D78">
        <f>IF(Presupuesto!B78="","",Presupuesto!F78)</f>
        <v/>
      </c>
      <c r="E78">
        <f>IF(Presupuesto!B78="","",Presupuesto!D78)</f>
        <v/>
      </c>
    </row>
    <row r="79">
      <c r="A79">
        <f>IF(Presupuesto!B79="","",Presupuesto!B79)</f>
        <v/>
      </c>
      <c r="B79">
        <f>IF(Presupuesto!B79="","",Presupuesto!C79)</f>
        <v/>
      </c>
      <c r="C79">
        <f>IF(Presupuesto!B79="","",Presupuesto!E79)</f>
        <v/>
      </c>
      <c r="D79">
        <f>IF(Presupuesto!B79="","",Presupuesto!F79)</f>
        <v/>
      </c>
      <c r="E79">
        <f>IF(Presupuesto!B79="","",Presupuesto!D79)</f>
        <v/>
      </c>
    </row>
    <row r="80">
      <c r="A80">
        <f>IF(Presupuesto!B80="","",Presupuesto!B80)</f>
        <v/>
      </c>
      <c r="B80">
        <f>IF(Presupuesto!B80="","",Presupuesto!C80)</f>
        <v/>
      </c>
      <c r="C80">
        <f>IF(Presupuesto!B80="","",Presupuesto!E80)</f>
        <v/>
      </c>
      <c r="D80">
        <f>IF(Presupuesto!B80="","",Presupuesto!F80)</f>
        <v/>
      </c>
      <c r="E80">
        <f>IF(Presupuesto!B80="","",Presupuesto!D80)</f>
        <v/>
      </c>
    </row>
    <row r="81">
      <c r="A81">
        <f>IF(Presupuesto!B81="","",Presupuesto!B81)</f>
        <v/>
      </c>
      <c r="B81">
        <f>IF(Presupuesto!B81="","",Presupuesto!C81)</f>
        <v/>
      </c>
      <c r="C81">
        <f>IF(Presupuesto!B81="","",Presupuesto!E81)</f>
        <v/>
      </c>
      <c r="D81">
        <f>IF(Presupuesto!B81="","",Presupuesto!F81)</f>
        <v/>
      </c>
      <c r="E81">
        <f>IF(Presupuesto!B81="","",Presupuesto!D81)</f>
        <v/>
      </c>
    </row>
    <row r="82">
      <c r="A82">
        <f>IF(Presupuesto!B82="","",Presupuesto!B82)</f>
        <v/>
      </c>
      <c r="B82">
        <f>IF(Presupuesto!B82="","",Presupuesto!C82)</f>
        <v/>
      </c>
      <c r="C82">
        <f>IF(Presupuesto!B82="","",Presupuesto!E82)</f>
        <v/>
      </c>
      <c r="D82">
        <f>IF(Presupuesto!B82="","",Presupuesto!F82)</f>
        <v/>
      </c>
      <c r="E82">
        <f>IF(Presupuesto!B82="","",Presupuesto!D82)</f>
        <v/>
      </c>
    </row>
    <row r="83">
      <c r="A83">
        <f>IF(Presupuesto!B83="","",Presupuesto!B83)</f>
        <v/>
      </c>
      <c r="B83">
        <f>IF(Presupuesto!B83="","",Presupuesto!C83)</f>
        <v/>
      </c>
      <c r="C83">
        <f>IF(Presupuesto!B83="","",Presupuesto!E83)</f>
        <v/>
      </c>
      <c r="D83">
        <f>IF(Presupuesto!B83="","",Presupuesto!F83)</f>
        <v/>
      </c>
      <c r="E83">
        <f>IF(Presupuesto!B83="","",Presupuesto!D83)</f>
        <v/>
      </c>
    </row>
    <row r="84">
      <c r="A84">
        <f>IF(Presupuesto!B84="","",Presupuesto!B84)</f>
        <v/>
      </c>
      <c r="B84">
        <f>IF(Presupuesto!B84="","",Presupuesto!C84)</f>
        <v/>
      </c>
      <c r="C84">
        <f>IF(Presupuesto!B84="","",Presupuesto!E84)</f>
        <v/>
      </c>
      <c r="D84">
        <f>IF(Presupuesto!B84="","",Presupuesto!F84)</f>
        <v/>
      </c>
      <c r="E84">
        <f>IF(Presupuesto!B84="","",Presupuesto!D84)</f>
        <v/>
      </c>
    </row>
    <row r="85">
      <c r="A85">
        <f>IF(Presupuesto!B85="","",Presupuesto!B85)</f>
        <v/>
      </c>
      <c r="B85">
        <f>IF(Presupuesto!B85="","",Presupuesto!C85)</f>
        <v/>
      </c>
      <c r="C85">
        <f>IF(Presupuesto!B85="","",Presupuesto!E85)</f>
        <v/>
      </c>
      <c r="D85">
        <f>IF(Presupuesto!B85="","",Presupuesto!F85)</f>
        <v/>
      </c>
      <c r="E85">
        <f>IF(Presupuesto!B85="","",Presupuesto!D85)</f>
        <v/>
      </c>
    </row>
    <row r="86">
      <c r="A86">
        <f>IF(Presupuesto!B86="","",Presupuesto!B86)</f>
        <v/>
      </c>
      <c r="B86">
        <f>IF(Presupuesto!B86="","",Presupuesto!C86)</f>
        <v/>
      </c>
      <c r="C86">
        <f>IF(Presupuesto!B86="","",Presupuesto!E86)</f>
        <v/>
      </c>
      <c r="D86">
        <f>IF(Presupuesto!B86="","",Presupuesto!F86)</f>
        <v/>
      </c>
      <c r="E86">
        <f>IF(Presupuesto!B86="","",Presupuesto!D86)</f>
        <v/>
      </c>
    </row>
    <row r="87">
      <c r="A87">
        <f>IF(Presupuesto!B87="","",Presupuesto!B87)</f>
        <v/>
      </c>
      <c r="B87">
        <f>IF(Presupuesto!B87="","",Presupuesto!C87)</f>
        <v/>
      </c>
      <c r="C87">
        <f>IF(Presupuesto!B87="","",Presupuesto!E87)</f>
        <v/>
      </c>
      <c r="D87">
        <f>IF(Presupuesto!B87="","",Presupuesto!F87)</f>
        <v/>
      </c>
      <c r="E87">
        <f>IF(Presupuesto!B87="","",Presupuesto!D87)</f>
        <v/>
      </c>
    </row>
    <row r="88">
      <c r="A88">
        <f>IF(Presupuesto!B88="","",Presupuesto!B88)</f>
        <v/>
      </c>
      <c r="B88">
        <f>IF(Presupuesto!B88="","",Presupuesto!C88)</f>
        <v/>
      </c>
      <c r="C88">
        <f>IF(Presupuesto!B88="","",Presupuesto!E88)</f>
        <v/>
      </c>
      <c r="D88">
        <f>IF(Presupuesto!B88="","",Presupuesto!F88)</f>
        <v/>
      </c>
      <c r="E88">
        <f>IF(Presupuesto!B88="","",Presupuesto!D88)</f>
        <v/>
      </c>
    </row>
    <row r="89">
      <c r="A89">
        <f>IF(Presupuesto!B89="","",Presupuesto!B89)</f>
        <v/>
      </c>
      <c r="B89">
        <f>IF(Presupuesto!B89="","",Presupuesto!C89)</f>
        <v/>
      </c>
      <c r="C89">
        <f>IF(Presupuesto!B89="","",Presupuesto!E89)</f>
        <v/>
      </c>
      <c r="D89">
        <f>IF(Presupuesto!B89="","",Presupuesto!F89)</f>
        <v/>
      </c>
      <c r="E89">
        <f>IF(Presupuesto!B89="","",Presupuesto!D89)</f>
        <v/>
      </c>
    </row>
    <row r="90">
      <c r="A90">
        <f>IF(Presupuesto!B90="","",Presupuesto!B90)</f>
        <v/>
      </c>
      <c r="B90">
        <f>IF(Presupuesto!B90="","",Presupuesto!C90)</f>
        <v/>
      </c>
      <c r="C90">
        <f>IF(Presupuesto!B90="","",Presupuesto!E90)</f>
        <v/>
      </c>
      <c r="D90">
        <f>IF(Presupuesto!B90="","",Presupuesto!F90)</f>
        <v/>
      </c>
      <c r="E90">
        <f>IF(Presupuesto!B90="","",Presupuesto!D90)</f>
        <v/>
      </c>
    </row>
    <row r="91">
      <c r="A91">
        <f>IF(Presupuesto!B91="","",Presupuesto!B91)</f>
        <v/>
      </c>
      <c r="B91">
        <f>IF(Presupuesto!B91="","",Presupuesto!C91)</f>
        <v/>
      </c>
      <c r="C91">
        <f>IF(Presupuesto!B91="","",Presupuesto!E91)</f>
        <v/>
      </c>
      <c r="D91">
        <f>IF(Presupuesto!B91="","",Presupuesto!F91)</f>
        <v/>
      </c>
      <c r="E91">
        <f>IF(Presupuesto!B91="","",Presupuesto!D91)</f>
        <v/>
      </c>
    </row>
    <row r="92">
      <c r="A92">
        <f>IF(Presupuesto!B92="","",Presupuesto!B92)</f>
        <v/>
      </c>
      <c r="B92">
        <f>IF(Presupuesto!B92="","",Presupuesto!C92)</f>
        <v/>
      </c>
      <c r="C92">
        <f>IF(Presupuesto!B92="","",Presupuesto!E92)</f>
        <v/>
      </c>
      <c r="D92">
        <f>IF(Presupuesto!B92="","",Presupuesto!F92)</f>
        <v/>
      </c>
      <c r="E92">
        <f>IF(Presupuesto!B92="","",Presupuesto!D92)</f>
        <v/>
      </c>
    </row>
    <row r="93">
      <c r="A93">
        <f>IF(Presupuesto!B93="","",Presupuesto!B93)</f>
        <v/>
      </c>
      <c r="B93">
        <f>IF(Presupuesto!B93="","",Presupuesto!C93)</f>
        <v/>
      </c>
      <c r="C93">
        <f>IF(Presupuesto!B93="","",Presupuesto!E93)</f>
        <v/>
      </c>
      <c r="D93">
        <f>IF(Presupuesto!B93="","",Presupuesto!F93)</f>
        <v/>
      </c>
      <c r="E93">
        <f>IF(Presupuesto!B93="","",Presupuesto!D93)</f>
        <v/>
      </c>
    </row>
    <row r="94">
      <c r="A94">
        <f>IF(Presupuesto!B94="","",Presupuesto!B94)</f>
        <v/>
      </c>
      <c r="B94">
        <f>IF(Presupuesto!B94="","",Presupuesto!C94)</f>
        <v/>
      </c>
      <c r="C94">
        <f>IF(Presupuesto!B94="","",Presupuesto!E94)</f>
        <v/>
      </c>
      <c r="D94">
        <f>IF(Presupuesto!B94="","",Presupuesto!F94)</f>
        <v/>
      </c>
      <c r="E94">
        <f>IF(Presupuesto!B94="","",Presupuesto!D94)</f>
        <v/>
      </c>
    </row>
    <row r="95">
      <c r="A95">
        <f>IF(Presupuesto!B95="","",Presupuesto!B95)</f>
        <v/>
      </c>
      <c r="B95">
        <f>IF(Presupuesto!B95="","",Presupuesto!C95)</f>
        <v/>
      </c>
      <c r="C95">
        <f>IF(Presupuesto!B95="","",Presupuesto!E95)</f>
        <v/>
      </c>
      <c r="D95">
        <f>IF(Presupuesto!B95="","",Presupuesto!F95)</f>
        <v/>
      </c>
      <c r="E95">
        <f>IF(Presupuesto!B95="","",Presupuesto!D95)</f>
        <v/>
      </c>
    </row>
    <row r="96">
      <c r="A96">
        <f>IF(Presupuesto!B96="","",Presupuesto!B96)</f>
        <v/>
      </c>
      <c r="B96">
        <f>IF(Presupuesto!B96="","",Presupuesto!C96)</f>
        <v/>
      </c>
      <c r="C96">
        <f>IF(Presupuesto!B96="","",Presupuesto!E96)</f>
        <v/>
      </c>
      <c r="D96">
        <f>IF(Presupuesto!B96="","",Presupuesto!F96)</f>
        <v/>
      </c>
      <c r="E96">
        <f>IF(Presupuesto!B96="","",Presupuesto!D96)</f>
        <v/>
      </c>
    </row>
    <row r="97">
      <c r="A97">
        <f>IF(Presupuesto!B97="","",Presupuesto!B97)</f>
        <v/>
      </c>
      <c r="B97">
        <f>IF(Presupuesto!B97="","",Presupuesto!C97)</f>
        <v/>
      </c>
      <c r="C97">
        <f>IF(Presupuesto!B97="","",Presupuesto!E97)</f>
        <v/>
      </c>
      <c r="D97">
        <f>IF(Presupuesto!B97="","",Presupuesto!F97)</f>
        <v/>
      </c>
      <c r="E97">
        <f>IF(Presupuesto!B97="","",Presupuesto!D97)</f>
        <v/>
      </c>
    </row>
    <row r="98">
      <c r="A98">
        <f>IF(Presupuesto!B98="","",Presupuesto!B98)</f>
        <v/>
      </c>
      <c r="B98">
        <f>IF(Presupuesto!B98="","",Presupuesto!C98)</f>
        <v/>
      </c>
      <c r="C98">
        <f>IF(Presupuesto!B98="","",Presupuesto!E98)</f>
        <v/>
      </c>
      <c r="D98">
        <f>IF(Presupuesto!B98="","",Presupuesto!F98)</f>
        <v/>
      </c>
      <c r="E98">
        <f>IF(Presupuesto!B98="","",Presupuesto!D98)</f>
        <v/>
      </c>
    </row>
    <row r="99">
      <c r="A99">
        <f>IF(Presupuesto!B99="","",Presupuesto!B99)</f>
        <v/>
      </c>
      <c r="B99">
        <f>IF(Presupuesto!B99="","",Presupuesto!C99)</f>
        <v/>
      </c>
      <c r="C99">
        <f>IF(Presupuesto!B99="","",Presupuesto!E99)</f>
        <v/>
      </c>
      <c r="D99">
        <f>IF(Presupuesto!B99="","",Presupuesto!F99)</f>
        <v/>
      </c>
      <c r="E99">
        <f>IF(Presupuesto!B99="","",Presupuesto!D99)</f>
        <v/>
      </c>
    </row>
    <row r="100">
      <c r="A100">
        <f>IF(Presupuesto!B100="","",Presupuesto!B100)</f>
        <v/>
      </c>
      <c r="B100">
        <f>IF(Presupuesto!B100="","",Presupuesto!C100)</f>
        <v/>
      </c>
      <c r="C100">
        <f>IF(Presupuesto!B100="","",Presupuesto!E100)</f>
        <v/>
      </c>
      <c r="D100">
        <f>IF(Presupuesto!B100="","",Presupuesto!F100)</f>
        <v/>
      </c>
      <c r="E100">
        <f>IF(Presupuesto!B100="","",Presupuesto!D100)</f>
        <v/>
      </c>
    </row>
    <row r="101">
      <c r="A101">
        <f>IF(Presupuesto!B101="","",Presupuesto!B101)</f>
        <v/>
      </c>
      <c r="B101">
        <f>IF(Presupuesto!B101="","",Presupuesto!C101)</f>
        <v/>
      </c>
      <c r="C101">
        <f>IF(Presupuesto!B101="","",Presupuesto!E101)</f>
        <v/>
      </c>
      <c r="D101">
        <f>IF(Presupuesto!B101="","",Presupuesto!F101)</f>
        <v/>
      </c>
      <c r="E101">
        <f>IF(Presupuesto!B101="","",Presupuesto!D101)</f>
        <v/>
      </c>
    </row>
    <row r="102">
      <c r="A102">
        <f>IF(Presupuesto!B102="","",Presupuesto!B102)</f>
        <v/>
      </c>
      <c r="B102">
        <f>IF(Presupuesto!B102="","",Presupuesto!C102)</f>
        <v/>
      </c>
      <c r="C102">
        <f>IF(Presupuesto!B102="","",Presupuesto!E102)</f>
        <v/>
      </c>
      <c r="D102">
        <f>IF(Presupuesto!B102="","",Presupuesto!F102)</f>
        <v/>
      </c>
      <c r="E102">
        <f>IF(Presupuesto!B102="","",Presupuesto!D102)</f>
        <v/>
      </c>
    </row>
    <row r="103">
      <c r="A103">
        <f>IF(Presupuesto!B103="","",Presupuesto!B103)</f>
        <v/>
      </c>
      <c r="B103">
        <f>IF(Presupuesto!B103="","",Presupuesto!C103)</f>
        <v/>
      </c>
      <c r="C103">
        <f>IF(Presupuesto!B103="","",Presupuesto!E103)</f>
        <v/>
      </c>
      <c r="D103">
        <f>IF(Presupuesto!B103="","",Presupuesto!F103)</f>
        <v/>
      </c>
      <c r="E103">
        <f>IF(Presupuesto!B103="","",Presupuesto!D103)</f>
        <v/>
      </c>
    </row>
    <row r="104">
      <c r="A104">
        <f>IF(Presupuesto!B104="","",Presupuesto!B104)</f>
        <v/>
      </c>
      <c r="B104">
        <f>IF(Presupuesto!B104="","",Presupuesto!C104)</f>
        <v/>
      </c>
      <c r="C104">
        <f>IF(Presupuesto!B104="","",Presupuesto!E104)</f>
        <v/>
      </c>
      <c r="D104">
        <f>IF(Presupuesto!B104="","",Presupuesto!F104)</f>
        <v/>
      </c>
      <c r="E104">
        <f>IF(Presupuesto!B104="","",Presupuesto!D104)</f>
        <v/>
      </c>
    </row>
    <row r="105">
      <c r="A105">
        <f>IF(Presupuesto!B105="","",Presupuesto!B105)</f>
        <v/>
      </c>
      <c r="B105">
        <f>IF(Presupuesto!B105="","",Presupuesto!C105)</f>
        <v/>
      </c>
      <c r="C105">
        <f>IF(Presupuesto!B105="","",Presupuesto!E105)</f>
        <v/>
      </c>
      <c r="D105">
        <f>IF(Presupuesto!B105="","",Presupuesto!F105)</f>
        <v/>
      </c>
      <c r="E105">
        <f>IF(Presupuesto!B105="","",Presupuesto!D105)</f>
        <v/>
      </c>
    </row>
    <row r="106">
      <c r="A106">
        <f>IF(Presupuesto!B106="","",Presupuesto!B106)</f>
        <v/>
      </c>
      <c r="B106">
        <f>IF(Presupuesto!B106="","",Presupuesto!C106)</f>
        <v/>
      </c>
      <c r="C106">
        <f>IF(Presupuesto!B106="","",Presupuesto!E106)</f>
        <v/>
      </c>
      <c r="D106">
        <f>IF(Presupuesto!B106="","",Presupuesto!F106)</f>
        <v/>
      </c>
      <c r="E106">
        <f>IF(Presupuesto!B106="","",Presupuesto!D106)</f>
        <v/>
      </c>
    </row>
    <row r="107">
      <c r="A107">
        <f>IF(Presupuesto!B107="","",Presupuesto!B107)</f>
        <v/>
      </c>
      <c r="B107">
        <f>IF(Presupuesto!B107="","",Presupuesto!C107)</f>
        <v/>
      </c>
      <c r="C107">
        <f>IF(Presupuesto!B107="","",Presupuesto!E107)</f>
        <v/>
      </c>
      <c r="D107">
        <f>IF(Presupuesto!B107="","",Presupuesto!F107)</f>
        <v/>
      </c>
      <c r="E107">
        <f>IF(Presupuesto!B107="","",Presupuesto!D107)</f>
        <v/>
      </c>
    </row>
    <row r="108">
      <c r="A108">
        <f>IF(Presupuesto!B108="","",Presupuesto!B108)</f>
        <v/>
      </c>
      <c r="B108">
        <f>IF(Presupuesto!B108="","",Presupuesto!C108)</f>
        <v/>
      </c>
      <c r="C108">
        <f>IF(Presupuesto!B108="","",Presupuesto!E108)</f>
        <v/>
      </c>
      <c r="D108">
        <f>IF(Presupuesto!B108="","",Presupuesto!F108)</f>
        <v/>
      </c>
      <c r="E108">
        <f>IF(Presupuesto!B108="","",Presupuesto!D108)</f>
        <v/>
      </c>
    </row>
    <row r="109">
      <c r="A109">
        <f>IF(Presupuesto!B109="","",Presupuesto!B109)</f>
        <v/>
      </c>
      <c r="B109">
        <f>IF(Presupuesto!B109="","",Presupuesto!C109)</f>
        <v/>
      </c>
      <c r="C109">
        <f>IF(Presupuesto!B109="","",Presupuesto!E109)</f>
        <v/>
      </c>
      <c r="D109">
        <f>IF(Presupuesto!B109="","",Presupuesto!F109)</f>
        <v/>
      </c>
      <c r="E109">
        <f>IF(Presupuesto!B109="","",Presupuesto!D109)</f>
        <v/>
      </c>
    </row>
    <row r="110">
      <c r="A110">
        <f>IF(Presupuesto!B110="","",Presupuesto!B110)</f>
        <v/>
      </c>
      <c r="B110">
        <f>IF(Presupuesto!B110="","",Presupuesto!C110)</f>
        <v/>
      </c>
      <c r="C110">
        <f>IF(Presupuesto!B110="","",Presupuesto!E110)</f>
        <v/>
      </c>
      <c r="D110">
        <f>IF(Presupuesto!B110="","",Presupuesto!F110)</f>
        <v/>
      </c>
      <c r="E110">
        <f>IF(Presupuesto!B110="","",Presupuesto!D110)</f>
        <v/>
      </c>
    </row>
    <row r="111">
      <c r="A111">
        <f>IF(Presupuesto!B111="","",Presupuesto!B111)</f>
        <v/>
      </c>
      <c r="B111">
        <f>IF(Presupuesto!B111="","",Presupuesto!C111)</f>
        <v/>
      </c>
      <c r="C111">
        <f>IF(Presupuesto!B111="","",Presupuesto!E111)</f>
        <v/>
      </c>
      <c r="D111">
        <f>IF(Presupuesto!B111="","",Presupuesto!F111)</f>
        <v/>
      </c>
      <c r="E111">
        <f>IF(Presupuesto!B111="","",Presupuesto!D111)</f>
        <v/>
      </c>
    </row>
    <row r="112">
      <c r="A112">
        <f>IF(Presupuesto!B112="","",Presupuesto!B112)</f>
        <v/>
      </c>
      <c r="B112">
        <f>IF(Presupuesto!B112="","",Presupuesto!C112)</f>
        <v/>
      </c>
      <c r="C112">
        <f>IF(Presupuesto!B112="","",Presupuesto!E112)</f>
        <v/>
      </c>
      <c r="D112">
        <f>IF(Presupuesto!B112="","",Presupuesto!F112)</f>
        <v/>
      </c>
      <c r="E112">
        <f>IF(Presupuesto!B112="","",Presupuesto!D112)</f>
        <v/>
      </c>
    </row>
    <row r="113">
      <c r="A113">
        <f>IF(Presupuesto!B113="","",Presupuesto!B113)</f>
        <v/>
      </c>
      <c r="B113">
        <f>IF(Presupuesto!B113="","",Presupuesto!C113)</f>
        <v/>
      </c>
      <c r="C113">
        <f>IF(Presupuesto!B113="","",Presupuesto!E113)</f>
        <v/>
      </c>
      <c r="D113">
        <f>IF(Presupuesto!B113="","",Presupuesto!F113)</f>
        <v/>
      </c>
      <c r="E113">
        <f>IF(Presupuesto!B113="","",Presupuesto!D113)</f>
        <v/>
      </c>
    </row>
    <row r="114">
      <c r="A114">
        <f>IF(Presupuesto!B114="","",Presupuesto!B114)</f>
        <v/>
      </c>
      <c r="B114">
        <f>IF(Presupuesto!B114="","",Presupuesto!C114)</f>
        <v/>
      </c>
      <c r="C114">
        <f>IF(Presupuesto!B114="","",Presupuesto!E114)</f>
        <v/>
      </c>
      <c r="D114">
        <f>IF(Presupuesto!B114="","",Presupuesto!F114)</f>
        <v/>
      </c>
      <c r="E114">
        <f>IF(Presupuesto!B114="","",Presupuesto!D114)</f>
        <v/>
      </c>
    </row>
    <row r="115">
      <c r="A115">
        <f>IF(Presupuesto!B115="","",Presupuesto!B115)</f>
        <v/>
      </c>
      <c r="B115">
        <f>IF(Presupuesto!B115="","",Presupuesto!C115)</f>
        <v/>
      </c>
      <c r="C115">
        <f>IF(Presupuesto!B115="","",Presupuesto!E115)</f>
        <v/>
      </c>
      <c r="D115">
        <f>IF(Presupuesto!B115="","",Presupuesto!F115)</f>
        <v/>
      </c>
      <c r="E115">
        <f>IF(Presupuesto!B115="","",Presupuesto!D115)</f>
        <v/>
      </c>
    </row>
    <row r="116">
      <c r="A116">
        <f>IF(Presupuesto!B116="","",Presupuesto!B116)</f>
        <v/>
      </c>
      <c r="B116">
        <f>IF(Presupuesto!B116="","",Presupuesto!C116)</f>
        <v/>
      </c>
      <c r="C116">
        <f>IF(Presupuesto!B116="","",Presupuesto!E116)</f>
        <v/>
      </c>
      <c r="D116">
        <f>IF(Presupuesto!B116="","",Presupuesto!F116)</f>
        <v/>
      </c>
      <c r="E116">
        <f>IF(Presupuesto!B116="","",Presupuesto!D116)</f>
        <v/>
      </c>
    </row>
    <row r="117">
      <c r="A117">
        <f>IF(Presupuesto!B117="","",Presupuesto!B117)</f>
        <v/>
      </c>
      <c r="B117">
        <f>IF(Presupuesto!B117="","",Presupuesto!C117)</f>
        <v/>
      </c>
      <c r="C117">
        <f>IF(Presupuesto!B117="","",Presupuesto!E117)</f>
        <v/>
      </c>
      <c r="D117">
        <f>IF(Presupuesto!B117="","",Presupuesto!F117)</f>
        <v/>
      </c>
      <c r="E117">
        <f>IF(Presupuesto!B117="","",Presupuesto!D117)</f>
        <v/>
      </c>
    </row>
    <row r="118">
      <c r="A118">
        <f>IF(Presupuesto!B118="","",Presupuesto!B118)</f>
        <v/>
      </c>
      <c r="B118">
        <f>IF(Presupuesto!B118="","",Presupuesto!C118)</f>
        <v/>
      </c>
      <c r="C118">
        <f>IF(Presupuesto!B118="","",Presupuesto!E118)</f>
        <v/>
      </c>
      <c r="D118">
        <f>IF(Presupuesto!B118="","",Presupuesto!F118)</f>
        <v/>
      </c>
      <c r="E118">
        <f>IF(Presupuesto!B118="","",Presupuesto!D118)</f>
        <v/>
      </c>
    </row>
    <row r="119">
      <c r="A119">
        <f>IF(Presupuesto!B119="","",Presupuesto!B119)</f>
        <v/>
      </c>
      <c r="B119">
        <f>IF(Presupuesto!B119="","",Presupuesto!C119)</f>
        <v/>
      </c>
      <c r="C119">
        <f>IF(Presupuesto!B119="","",Presupuesto!E119)</f>
        <v/>
      </c>
      <c r="D119">
        <f>IF(Presupuesto!B119="","",Presupuesto!F119)</f>
        <v/>
      </c>
      <c r="E119">
        <f>IF(Presupuesto!B119="","",Presupuesto!D119)</f>
        <v/>
      </c>
    </row>
    <row r="120">
      <c r="A120">
        <f>IF(Presupuesto!B120="","",Presupuesto!B120)</f>
        <v/>
      </c>
      <c r="B120">
        <f>IF(Presupuesto!B120="","",Presupuesto!C120)</f>
        <v/>
      </c>
      <c r="C120">
        <f>IF(Presupuesto!B120="","",Presupuesto!E120)</f>
        <v/>
      </c>
      <c r="D120">
        <f>IF(Presupuesto!B120="","",Presupuesto!F120)</f>
        <v/>
      </c>
      <c r="E120">
        <f>IF(Presupuesto!B120="","",Presupuesto!D120)</f>
        <v/>
      </c>
    </row>
    <row r="121">
      <c r="A121">
        <f>IF(Presupuesto!B121="","",Presupuesto!B121)</f>
        <v/>
      </c>
      <c r="B121">
        <f>IF(Presupuesto!B121="","",Presupuesto!C121)</f>
        <v/>
      </c>
      <c r="C121">
        <f>IF(Presupuesto!B121="","",Presupuesto!E121)</f>
        <v/>
      </c>
      <c r="D121">
        <f>IF(Presupuesto!B121="","",Presupuesto!F121)</f>
        <v/>
      </c>
      <c r="E121">
        <f>IF(Presupuesto!B121="","",Presupuesto!D121)</f>
        <v/>
      </c>
    </row>
    <row r="122">
      <c r="A122">
        <f>IF(Presupuesto!B122="","",Presupuesto!B122)</f>
        <v/>
      </c>
      <c r="B122">
        <f>IF(Presupuesto!B122="","",Presupuesto!C122)</f>
        <v/>
      </c>
      <c r="C122">
        <f>IF(Presupuesto!B122="","",Presupuesto!E122)</f>
        <v/>
      </c>
      <c r="D122">
        <f>IF(Presupuesto!B122="","",Presupuesto!F122)</f>
        <v/>
      </c>
      <c r="E122">
        <f>IF(Presupuesto!B122="","",Presupuesto!D122)</f>
        <v/>
      </c>
    </row>
    <row r="123">
      <c r="A123">
        <f>IF(Presupuesto!B123="","",Presupuesto!B123)</f>
        <v/>
      </c>
      <c r="B123">
        <f>IF(Presupuesto!B123="","",Presupuesto!C123)</f>
        <v/>
      </c>
      <c r="C123">
        <f>IF(Presupuesto!B123="","",Presupuesto!E123)</f>
        <v/>
      </c>
      <c r="D123">
        <f>IF(Presupuesto!B123="","",Presupuesto!F123)</f>
        <v/>
      </c>
      <c r="E123">
        <f>IF(Presupuesto!B123="","",Presupuesto!D123)</f>
        <v/>
      </c>
    </row>
    <row r="124">
      <c r="A124">
        <f>IF(Presupuesto!B124="","",Presupuesto!B124)</f>
        <v/>
      </c>
      <c r="B124">
        <f>IF(Presupuesto!B124="","",Presupuesto!C124)</f>
        <v/>
      </c>
      <c r="C124">
        <f>IF(Presupuesto!B124="","",Presupuesto!E124)</f>
        <v/>
      </c>
      <c r="D124">
        <f>IF(Presupuesto!B124="","",Presupuesto!F124)</f>
        <v/>
      </c>
      <c r="E124">
        <f>IF(Presupuesto!B124="","",Presupuesto!D124)</f>
        <v/>
      </c>
    </row>
    <row r="125">
      <c r="A125">
        <f>IF(Presupuesto!B125="","",Presupuesto!B125)</f>
        <v/>
      </c>
      <c r="B125">
        <f>IF(Presupuesto!B125="","",Presupuesto!C125)</f>
        <v/>
      </c>
      <c r="C125">
        <f>IF(Presupuesto!B125="","",Presupuesto!E125)</f>
        <v/>
      </c>
      <c r="D125">
        <f>IF(Presupuesto!B125="","",Presupuesto!F125)</f>
        <v/>
      </c>
      <c r="E125">
        <f>IF(Presupuesto!B125="","",Presupuesto!D125)</f>
        <v/>
      </c>
    </row>
    <row r="126">
      <c r="A126">
        <f>IF(Presupuesto!B126="","",Presupuesto!B126)</f>
        <v/>
      </c>
      <c r="B126">
        <f>IF(Presupuesto!B126="","",Presupuesto!C126)</f>
        <v/>
      </c>
      <c r="C126">
        <f>IF(Presupuesto!B126="","",Presupuesto!E126)</f>
        <v/>
      </c>
      <c r="D126">
        <f>IF(Presupuesto!B126="","",Presupuesto!F126)</f>
        <v/>
      </c>
      <c r="E126">
        <f>IF(Presupuesto!B126="","",Presupuesto!D126)</f>
        <v/>
      </c>
    </row>
    <row r="127">
      <c r="A127">
        <f>IF(Presupuesto!B127="","",Presupuesto!B127)</f>
        <v/>
      </c>
      <c r="B127">
        <f>IF(Presupuesto!B127="","",Presupuesto!C127)</f>
        <v/>
      </c>
      <c r="C127">
        <f>IF(Presupuesto!B127="","",Presupuesto!E127)</f>
        <v/>
      </c>
      <c r="D127">
        <f>IF(Presupuesto!B127="","",Presupuesto!F127)</f>
        <v/>
      </c>
      <c r="E127">
        <f>IF(Presupuesto!B127="","",Presupuesto!D127)</f>
        <v/>
      </c>
    </row>
    <row r="128">
      <c r="A128">
        <f>IF(Presupuesto!B128="","",Presupuesto!B128)</f>
        <v/>
      </c>
      <c r="B128">
        <f>IF(Presupuesto!B128="","",Presupuesto!C128)</f>
        <v/>
      </c>
      <c r="C128">
        <f>IF(Presupuesto!B128="","",Presupuesto!E128)</f>
        <v/>
      </c>
      <c r="D128">
        <f>IF(Presupuesto!B128="","",Presupuesto!F128)</f>
        <v/>
      </c>
      <c r="E128">
        <f>IF(Presupuesto!B128="","",Presupuesto!D128)</f>
        <v/>
      </c>
    </row>
    <row r="129">
      <c r="A129">
        <f>IF(Presupuesto!B129="","",Presupuesto!B129)</f>
        <v/>
      </c>
      <c r="B129">
        <f>IF(Presupuesto!B129="","",Presupuesto!C129)</f>
        <v/>
      </c>
      <c r="C129">
        <f>IF(Presupuesto!B129="","",Presupuesto!E129)</f>
        <v/>
      </c>
      <c r="D129">
        <f>IF(Presupuesto!B129="","",Presupuesto!F129)</f>
        <v/>
      </c>
      <c r="E129">
        <f>IF(Presupuesto!B129="","",Presupuesto!D129)</f>
        <v/>
      </c>
    </row>
    <row r="130">
      <c r="A130">
        <f>IF(Presupuesto!B130="","",Presupuesto!B130)</f>
        <v/>
      </c>
      <c r="B130">
        <f>IF(Presupuesto!B130="","",Presupuesto!C130)</f>
        <v/>
      </c>
      <c r="C130">
        <f>IF(Presupuesto!B130="","",Presupuesto!E130)</f>
        <v/>
      </c>
      <c r="D130">
        <f>IF(Presupuesto!B130="","",Presupuesto!F130)</f>
        <v/>
      </c>
      <c r="E130">
        <f>IF(Presupuesto!B130="","",Presupuesto!D130)</f>
        <v/>
      </c>
    </row>
    <row r="131">
      <c r="A131">
        <f>IF(Presupuesto!B131="","",Presupuesto!B131)</f>
        <v/>
      </c>
      <c r="B131">
        <f>IF(Presupuesto!B131="","",Presupuesto!C131)</f>
        <v/>
      </c>
      <c r="C131">
        <f>IF(Presupuesto!B131="","",Presupuesto!E131)</f>
        <v/>
      </c>
      <c r="D131">
        <f>IF(Presupuesto!B131="","",Presupuesto!F131)</f>
        <v/>
      </c>
      <c r="E131">
        <f>IF(Presupuesto!B131="","",Presupuesto!D131)</f>
        <v/>
      </c>
    </row>
    <row r="132">
      <c r="A132">
        <f>IF(Presupuesto!B132="","",Presupuesto!B132)</f>
        <v/>
      </c>
      <c r="B132">
        <f>IF(Presupuesto!B132="","",Presupuesto!C132)</f>
        <v/>
      </c>
      <c r="C132">
        <f>IF(Presupuesto!B132="","",Presupuesto!E132)</f>
        <v/>
      </c>
      <c r="D132">
        <f>IF(Presupuesto!B132="","",Presupuesto!F132)</f>
        <v/>
      </c>
      <c r="E132">
        <f>IF(Presupuesto!B132="","",Presupuesto!D132)</f>
        <v/>
      </c>
    </row>
    <row r="133">
      <c r="A133">
        <f>IF(Presupuesto!B133="","",Presupuesto!B133)</f>
        <v/>
      </c>
      <c r="B133">
        <f>IF(Presupuesto!B133="","",Presupuesto!C133)</f>
        <v/>
      </c>
      <c r="C133">
        <f>IF(Presupuesto!B133="","",Presupuesto!E133)</f>
        <v/>
      </c>
      <c r="D133">
        <f>IF(Presupuesto!B133="","",Presupuesto!F133)</f>
        <v/>
      </c>
      <c r="E133">
        <f>IF(Presupuesto!B133="","",Presupuesto!D133)</f>
        <v/>
      </c>
    </row>
    <row r="134">
      <c r="A134">
        <f>IF(Presupuesto!B134="","",Presupuesto!B134)</f>
        <v/>
      </c>
      <c r="B134">
        <f>IF(Presupuesto!B134="","",Presupuesto!C134)</f>
        <v/>
      </c>
      <c r="C134">
        <f>IF(Presupuesto!B134="","",Presupuesto!E134)</f>
        <v/>
      </c>
      <c r="D134">
        <f>IF(Presupuesto!B134="","",Presupuesto!F134)</f>
        <v/>
      </c>
      <c r="E134">
        <f>IF(Presupuesto!B134="","",Presupuesto!D134)</f>
        <v/>
      </c>
    </row>
    <row r="135">
      <c r="A135">
        <f>IF(Presupuesto!B135="","",Presupuesto!B135)</f>
        <v/>
      </c>
      <c r="B135">
        <f>IF(Presupuesto!B135="","",Presupuesto!C135)</f>
        <v/>
      </c>
      <c r="C135">
        <f>IF(Presupuesto!B135="","",Presupuesto!E135)</f>
        <v/>
      </c>
      <c r="D135">
        <f>IF(Presupuesto!B135="","",Presupuesto!F135)</f>
        <v/>
      </c>
      <c r="E135">
        <f>IF(Presupuesto!B135="","",Presupuesto!D135)</f>
        <v/>
      </c>
    </row>
    <row r="136">
      <c r="A136">
        <f>IF(Presupuesto!B136="","",Presupuesto!B136)</f>
        <v/>
      </c>
      <c r="B136">
        <f>IF(Presupuesto!B136="","",Presupuesto!C136)</f>
        <v/>
      </c>
      <c r="C136">
        <f>IF(Presupuesto!B136="","",Presupuesto!E136)</f>
        <v/>
      </c>
      <c r="D136">
        <f>IF(Presupuesto!B136="","",Presupuesto!F136)</f>
        <v/>
      </c>
      <c r="E136">
        <f>IF(Presupuesto!B136="","",Presupuesto!D136)</f>
        <v/>
      </c>
    </row>
    <row r="137">
      <c r="A137">
        <f>IF(Presupuesto!B137="","",Presupuesto!B137)</f>
        <v/>
      </c>
      <c r="B137">
        <f>IF(Presupuesto!B137="","",Presupuesto!C137)</f>
        <v/>
      </c>
      <c r="C137">
        <f>IF(Presupuesto!B137="","",Presupuesto!E137)</f>
        <v/>
      </c>
      <c r="D137">
        <f>IF(Presupuesto!B137="","",Presupuesto!F137)</f>
        <v/>
      </c>
      <c r="E137">
        <f>IF(Presupuesto!B137="","",Presupuesto!D137)</f>
        <v/>
      </c>
    </row>
    <row r="138">
      <c r="A138">
        <f>IF(Presupuesto!B138="","",Presupuesto!B138)</f>
        <v/>
      </c>
      <c r="B138">
        <f>IF(Presupuesto!B138="","",Presupuesto!C138)</f>
        <v/>
      </c>
      <c r="C138">
        <f>IF(Presupuesto!B138="","",Presupuesto!E138)</f>
        <v/>
      </c>
      <c r="D138">
        <f>IF(Presupuesto!B138="","",Presupuesto!F138)</f>
        <v/>
      </c>
      <c r="E138">
        <f>IF(Presupuesto!B138="","",Presupuesto!D138)</f>
        <v/>
      </c>
    </row>
    <row r="139">
      <c r="A139">
        <f>IF(Presupuesto!B139="","",Presupuesto!B139)</f>
        <v/>
      </c>
      <c r="B139">
        <f>IF(Presupuesto!B139="","",Presupuesto!C139)</f>
        <v/>
      </c>
      <c r="C139">
        <f>IF(Presupuesto!B139="","",Presupuesto!E139)</f>
        <v/>
      </c>
      <c r="D139">
        <f>IF(Presupuesto!B139="","",Presupuesto!F139)</f>
        <v/>
      </c>
      <c r="E139">
        <f>IF(Presupuesto!B139="","",Presupuesto!D139)</f>
        <v/>
      </c>
    </row>
    <row r="140">
      <c r="A140">
        <f>IF(Presupuesto!B140="","",Presupuesto!B140)</f>
        <v/>
      </c>
      <c r="B140">
        <f>IF(Presupuesto!B140="","",Presupuesto!C140)</f>
        <v/>
      </c>
      <c r="C140">
        <f>IF(Presupuesto!B140="","",Presupuesto!E140)</f>
        <v/>
      </c>
      <c r="D140">
        <f>IF(Presupuesto!B140="","",Presupuesto!F140)</f>
        <v/>
      </c>
      <c r="E140">
        <f>IF(Presupuesto!B140="","",Presupuesto!D140)</f>
        <v/>
      </c>
    </row>
    <row r="141">
      <c r="A141">
        <f>IF(Presupuesto!B141="","",Presupuesto!B141)</f>
        <v/>
      </c>
      <c r="B141">
        <f>IF(Presupuesto!B141="","",Presupuesto!C141)</f>
        <v/>
      </c>
      <c r="C141">
        <f>IF(Presupuesto!B141="","",Presupuesto!E141)</f>
        <v/>
      </c>
      <c r="D141">
        <f>IF(Presupuesto!B141="","",Presupuesto!F141)</f>
        <v/>
      </c>
      <c r="E141">
        <f>IF(Presupuesto!B141="","",Presupuesto!D141)</f>
        <v/>
      </c>
    </row>
    <row r="142">
      <c r="A142">
        <f>IF(Presupuesto!B142="","",Presupuesto!B142)</f>
        <v/>
      </c>
      <c r="B142">
        <f>IF(Presupuesto!B142="","",Presupuesto!C142)</f>
        <v/>
      </c>
      <c r="C142">
        <f>IF(Presupuesto!B142="","",Presupuesto!E142)</f>
        <v/>
      </c>
      <c r="D142">
        <f>IF(Presupuesto!B142="","",Presupuesto!F142)</f>
        <v/>
      </c>
      <c r="E142">
        <f>IF(Presupuesto!B142="","",Presupuesto!D142)</f>
        <v/>
      </c>
    </row>
    <row r="143">
      <c r="A143">
        <f>IF(Presupuesto!B143="","",Presupuesto!B143)</f>
        <v/>
      </c>
      <c r="B143">
        <f>IF(Presupuesto!B143="","",Presupuesto!C143)</f>
        <v/>
      </c>
      <c r="C143">
        <f>IF(Presupuesto!B143="","",Presupuesto!E143)</f>
        <v/>
      </c>
      <c r="D143">
        <f>IF(Presupuesto!B143="","",Presupuesto!F143)</f>
        <v/>
      </c>
      <c r="E143">
        <f>IF(Presupuesto!B143="","",Presupuesto!D143)</f>
        <v/>
      </c>
    </row>
    <row r="144">
      <c r="A144">
        <f>IF(Presupuesto!B144="","",Presupuesto!B144)</f>
        <v/>
      </c>
      <c r="B144">
        <f>IF(Presupuesto!B144="","",Presupuesto!C144)</f>
        <v/>
      </c>
      <c r="C144">
        <f>IF(Presupuesto!B144="","",Presupuesto!E144)</f>
        <v/>
      </c>
      <c r="D144">
        <f>IF(Presupuesto!B144="","",Presupuesto!F144)</f>
        <v/>
      </c>
      <c r="E144">
        <f>IF(Presupuesto!B144="","",Presupuesto!D144)</f>
        <v/>
      </c>
    </row>
    <row r="145">
      <c r="A145">
        <f>IF(Presupuesto!B145="","",Presupuesto!B145)</f>
        <v/>
      </c>
      <c r="B145">
        <f>IF(Presupuesto!B145="","",Presupuesto!C145)</f>
        <v/>
      </c>
      <c r="C145">
        <f>IF(Presupuesto!B145="","",Presupuesto!E145)</f>
        <v/>
      </c>
      <c r="D145">
        <f>IF(Presupuesto!B145="","",Presupuesto!F145)</f>
        <v/>
      </c>
      <c r="E145">
        <f>IF(Presupuesto!B145="","",Presupuesto!D145)</f>
        <v/>
      </c>
    </row>
    <row r="146">
      <c r="A146">
        <f>IF(Presupuesto!B146="","",Presupuesto!B146)</f>
        <v/>
      </c>
      <c r="B146">
        <f>IF(Presupuesto!B146="","",Presupuesto!C146)</f>
        <v/>
      </c>
      <c r="C146">
        <f>IF(Presupuesto!B146="","",Presupuesto!E146)</f>
        <v/>
      </c>
      <c r="D146">
        <f>IF(Presupuesto!B146="","",Presupuesto!F146)</f>
        <v/>
      </c>
      <c r="E146">
        <f>IF(Presupuesto!B146="","",Presupuesto!D146)</f>
        <v/>
      </c>
    </row>
    <row r="147">
      <c r="A147">
        <f>IF(Presupuesto!B147="","",Presupuesto!B147)</f>
        <v/>
      </c>
      <c r="B147">
        <f>IF(Presupuesto!B147="","",Presupuesto!C147)</f>
        <v/>
      </c>
      <c r="C147">
        <f>IF(Presupuesto!B147="","",Presupuesto!E147)</f>
        <v/>
      </c>
      <c r="D147">
        <f>IF(Presupuesto!B147="","",Presupuesto!F147)</f>
        <v/>
      </c>
      <c r="E147">
        <f>IF(Presupuesto!B147="","",Presupuesto!D147)</f>
        <v/>
      </c>
    </row>
    <row r="148">
      <c r="A148">
        <f>IF(Presupuesto!B148="","",Presupuesto!B148)</f>
        <v/>
      </c>
      <c r="B148">
        <f>IF(Presupuesto!B148="","",Presupuesto!C148)</f>
        <v/>
      </c>
      <c r="C148">
        <f>IF(Presupuesto!B148="","",Presupuesto!E148)</f>
        <v/>
      </c>
      <c r="D148">
        <f>IF(Presupuesto!B148="","",Presupuesto!F148)</f>
        <v/>
      </c>
      <c r="E148">
        <f>IF(Presupuesto!B148="","",Presupuesto!D148)</f>
        <v/>
      </c>
    </row>
    <row r="149">
      <c r="A149">
        <f>IF(Presupuesto!B149="","",Presupuesto!B149)</f>
        <v/>
      </c>
      <c r="B149">
        <f>IF(Presupuesto!B149="","",Presupuesto!C149)</f>
        <v/>
      </c>
      <c r="C149">
        <f>IF(Presupuesto!B149="","",Presupuesto!E149)</f>
        <v/>
      </c>
      <c r="D149">
        <f>IF(Presupuesto!B149="","",Presupuesto!F149)</f>
        <v/>
      </c>
      <c r="E149">
        <f>IF(Presupuesto!B149="","",Presupuesto!D149)</f>
        <v/>
      </c>
    </row>
    <row r="150">
      <c r="A150">
        <f>IF(Presupuesto!B150="","",Presupuesto!B150)</f>
        <v/>
      </c>
      <c r="B150">
        <f>IF(Presupuesto!B150="","",Presupuesto!C150)</f>
        <v/>
      </c>
      <c r="C150">
        <f>IF(Presupuesto!B150="","",Presupuesto!E150)</f>
        <v/>
      </c>
      <c r="D150">
        <f>IF(Presupuesto!B150="","",Presupuesto!F150)</f>
        <v/>
      </c>
      <c r="E150">
        <f>IF(Presupuesto!B150="","",Presupuesto!D150)</f>
        <v/>
      </c>
    </row>
    <row r="151">
      <c r="A151">
        <f>IF(Presupuesto!B151="","",Presupuesto!B151)</f>
        <v/>
      </c>
      <c r="B151">
        <f>IF(Presupuesto!B151="","",Presupuesto!C151)</f>
        <v/>
      </c>
      <c r="C151">
        <f>IF(Presupuesto!B151="","",Presupuesto!E151)</f>
        <v/>
      </c>
      <c r="D151">
        <f>IF(Presupuesto!B151="","",Presupuesto!F151)</f>
        <v/>
      </c>
      <c r="E151">
        <f>IF(Presupuesto!B151="","",Presupuesto!D151)</f>
        <v/>
      </c>
    </row>
    <row r="152">
      <c r="A152">
        <f>IF(Presupuesto!B152="","",Presupuesto!B152)</f>
        <v/>
      </c>
      <c r="B152">
        <f>IF(Presupuesto!B152="","",Presupuesto!C152)</f>
        <v/>
      </c>
      <c r="C152">
        <f>IF(Presupuesto!B152="","",Presupuesto!E152)</f>
        <v/>
      </c>
      <c r="D152">
        <f>IF(Presupuesto!B152="","",Presupuesto!F152)</f>
        <v/>
      </c>
      <c r="E152">
        <f>IF(Presupuesto!B152="","",Presupuesto!D152)</f>
        <v/>
      </c>
    </row>
    <row r="153">
      <c r="A153">
        <f>IF(Presupuesto!B153="","",Presupuesto!B153)</f>
        <v/>
      </c>
      <c r="B153">
        <f>IF(Presupuesto!B153="","",Presupuesto!C153)</f>
        <v/>
      </c>
      <c r="C153">
        <f>IF(Presupuesto!B153="","",Presupuesto!E153)</f>
        <v/>
      </c>
      <c r="D153">
        <f>IF(Presupuesto!B153="","",Presupuesto!F153)</f>
        <v/>
      </c>
      <c r="E153">
        <f>IF(Presupuesto!B153="","",Presupuesto!D153)</f>
        <v/>
      </c>
    </row>
    <row r="154">
      <c r="A154">
        <f>IF(Presupuesto!B154="","",Presupuesto!B154)</f>
        <v/>
      </c>
      <c r="B154">
        <f>IF(Presupuesto!B154="","",Presupuesto!C154)</f>
        <v/>
      </c>
      <c r="C154">
        <f>IF(Presupuesto!B154="","",Presupuesto!E154)</f>
        <v/>
      </c>
      <c r="D154">
        <f>IF(Presupuesto!B154="","",Presupuesto!F154)</f>
        <v/>
      </c>
      <c r="E154">
        <f>IF(Presupuesto!B154="","",Presupuesto!D154)</f>
        <v/>
      </c>
    </row>
    <row r="155">
      <c r="A155">
        <f>IF(Presupuesto!B155="","",Presupuesto!B155)</f>
        <v/>
      </c>
      <c r="B155">
        <f>IF(Presupuesto!B155="","",Presupuesto!C155)</f>
        <v/>
      </c>
      <c r="C155">
        <f>IF(Presupuesto!B155="","",Presupuesto!E155)</f>
        <v/>
      </c>
      <c r="D155">
        <f>IF(Presupuesto!B155="","",Presupuesto!F155)</f>
        <v/>
      </c>
      <c r="E155">
        <f>IF(Presupuesto!B155="","",Presupuesto!D155)</f>
        <v/>
      </c>
    </row>
    <row r="156">
      <c r="A156">
        <f>IF(Presupuesto!B156="","",Presupuesto!B156)</f>
        <v/>
      </c>
      <c r="B156">
        <f>IF(Presupuesto!B156="","",Presupuesto!C156)</f>
        <v/>
      </c>
      <c r="C156">
        <f>IF(Presupuesto!B156="","",Presupuesto!E156)</f>
        <v/>
      </c>
      <c r="D156">
        <f>IF(Presupuesto!B156="","",Presupuesto!F156)</f>
        <v/>
      </c>
      <c r="E156">
        <f>IF(Presupuesto!B156="","",Presupuesto!D156)</f>
        <v/>
      </c>
    </row>
    <row r="157">
      <c r="A157">
        <f>IF(Presupuesto!B157="","",Presupuesto!B157)</f>
        <v/>
      </c>
      <c r="B157">
        <f>IF(Presupuesto!B157="","",Presupuesto!C157)</f>
        <v/>
      </c>
      <c r="C157">
        <f>IF(Presupuesto!B157="","",Presupuesto!E157)</f>
        <v/>
      </c>
      <c r="D157">
        <f>IF(Presupuesto!B157="","",Presupuesto!F157)</f>
        <v/>
      </c>
      <c r="E157">
        <f>IF(Presupuesto!B157="","",Presupuesto!D157)</f>
        <v/>
      </c>
    </row>
    <row r="158">
      <c r="A158">
        <f>IF(Presupuesto!B158="","",Presupuesto!B158)</f>
        <v/>
      </c>
      <c r="B158">
        <f>IF(Presupuesto!B158="","",Presupuesto!C158)</f>
        <v/>
      </c>
      <c r="C158">
        <f>IF(Presupuesto!B158="","",Presupuesto!E158)</f>
        <v/>
      </c>
      <c r="D158">
        <f>IF(Presupuesto!B158="","",Presupuesto!F158)</f>
        <v/>
      </c>
      <c r="E158">
        <f>IF(Presupuesto!B158="","",Presupuesto!D158)</f>
        <v/>
      </c>
    </row>
    <row r="159">
      <c r="A159">
        <f>IF(Presupuesto!B159="","",Presupuesto!B159)</f>
        <v/>
      </c>
      <c r="B159">
        <f>IF(Presupuesto!B159="","",Presupuesto!C159)</f>
        <v/>
      </c>
      <c r="C159">
        <f>IF(Presupuesto!B159="","",Presupuesto!E159)</f>
        <v/>
      </c>
      <c r="D159">
        <f>IF(Presupuesto!B159="","",Presupuesto!F159)</f>
        <v/>
      </c>
      <c r="E159">
        <f>IF(Presupuesto!B159="","",Presupuesto!D159)</f>
        <v/>
      </c>
    </row>
    <row r="160">
      <c r="A160">
        <f>IF(Presupuesto!B160="","",Presupuesto!B160)</f>
        <v/>
      </c>
      <c r="B160">
        <f>IF(Presupuesto!B160="","",Presupuesto!C160)</f>
        <v/>
      </c>
      <c r="C160">
        <f>IF(Presupuesto!B160="","",Presupuesto!E160)</f>
        <v/>
      </c>
      <c r="D160">
        <f>IF(Presupuesto!B160="","",Presupuesto!F160)</f>
        <v/>
      </c>
      <c r="E160">
        <f>IF(Presupuesto!B160="","",Presupuesto!D160)</f>
        <v/>
      </c>
    </row>
    <row r="161">
      <c r="A161">
        <f>IF(Presupuesto!B161="","",Presupuesto!B161)</f>
        <v/>
      </c>
      <c r="B161">
        <f>IF(Presupuesto!B161="","",Presupuesto!C161)</f>
        <v/>
      </c>
      <c r="C161">
        <f>IF(Presupuesto!B161="","",Presupuesto!E161)</f>
        <v/>
      </c>
      <c r="D161">
        <f>IF(Presupuesto!B161="","",Presupuesto!F161)</f>
        <v/>
      </c>
      <c r="E161">
        <f>IF(Presupuesto!B161="","",Presupuesto!D161)</f>
        <v/>
      </c>
    </row>
    <row r="162">
      <c r="A162">
        <f>IF(Presupuesto!B162="","",Presupuesto!B162)</f>
        <v/>
      </c>
      <c r="B162">
        <f>IF(Presupuesto!B162="","",Presupuesto!C162)</f>
        <v/>
      </c>
      <c r="C162">
        <f>IF(Presupuesto!B162="","",Presupuesto!E162)</f>
        <v/>
      </c>
      <c r="D162">
        <f>IF(Presupuesto!B162="","",Presupuesto!F162)</f>
        <v/>
      </c>
      <c r="E162">
        <f>IF(Presupuesto!B162="","",Presupuesto!D162)</f>
        <v/>
      </c>
    </row>
    <row r="163">
      <c r="A163">
        <f>IF(Presupuesto!B163="","",Presupuesto!B163)</f>
        <v/>
      </c>
      <c r="B163">
        <f>IF(Presupuesto!B163="","",Presupuesto!C163)</f>
        <v/>
      </c>
      <c r="C163">
        <f>IF(Presupuesto!B163="","",Presupuesto!E163)</f>
        <v/>
      </c>
      <c r="D163">
        <f>IF(Presupuesto!B163="","",Presupuesto!F163)</f>
        <v/>
      </c>
      <c r="E163">
        <f>IF(Presupuesto!B163="","",Presupuesto!D163)</f>
        <v/>
      </c>
    </row>
    <row r="164">
      <c r="A164">
        <f>IF(Presupuesto!B164="","",Presupuesto!B164)</f>
        <v/>
      </c>
      <c r="B164">
        <f>IF(Presupuesto!B164="","",Presupuesto!C164)</f>
        <v/>
      </c>
      <c r="C164">
        <f>IF(Presupuesto!B164="","",Presupuesto!E164)</f>
        <v/>
      </c>
      <c r="D164">
        <f>IF(Presupuesto!B164="","",Presupuesto!F164)</f>
        <v/>
      </c>
      <c r="E164">
        <f>IF(Presupuesto!B164="","",Presupuesto!D164)</f>
        <v/>
      </c>
    </row>
    <row r="165">
      <c r="A165">
        <f>IF(Presupuesto!B165="","",Presupuesto!B165)</f>
        <v/>
      </c>
      <c r="B165">
        <f>IF(Presupuesto!B165="","",Presupuesto!C165)</f>
        <v/>
      </c>
      <c r="C165">
        <f>IF(Presupuesto!B165="","",Presupuesto!E165)</f>
        <v/>
      </c>
      <c r="D165">
        <f>IF(Presupuesto!B165="","",Presupuesto!F165)</f>
        <v/>
      </c>
      <c r="E165">
        <f>IF(Presupuesto!B165="","",Presupuesto!D165)</f>
        <v/>
      </c>
    </row>
    <row r="166">
      <c r="A166">
        <f>IF(Presupuesto!B166="","",Presupuesto!B166)</f>
        <v/>
      </c>
      <c r="B166">
        <f>IF(Presupuesto!B166="","",Presupuesto!C166)</f>
        <v/>
      </c>
      <c r="C166">
        <f>IF(Presupuesto!B166="","",Presupuesto!E166)</f>
        <v/>
      </c>
      <c r="D166">
        <f>IF(Presupuesto!B166="","",Presupuesto!F166)</f>
        <v/>
      </c>
      <c r="E166">
        <f>IF(Presupuesto!B166="","",Presupuesto!D166)</f>
        <v/>
      </c>
    </row>
    <row r="167">
      <c r="A167">
        <f>IF(Presupuesto!B167="","",Presupuesto!B167)</f>
        <v/>
      </c>
      <c r="B167">
        <f>IF(Presupuesto!B167="","",Presupuesto!C167)</f>
        <v/>
      </c>
      <c r="C167">
        <f>IF(Presupuesto!B167="","",Presupuesto!E167)</f>
        <v/>
      </c>
      <c r="D167">
        <f>IF(Presupuesto!B167="","",Presupuesto!F167)</f>
        <v/>
      </c>
      <c r="E167">
        <f>IF(Presupuesto!B167="","",Presupuesto!D167)</f>
        <v/>
      </c>
    </row>
    <row r="168">
      <c r="A168">
        <f>IF(Presupuesto!B168="","",Presupuesto!B168)</f>
        <v/>
      </c>
      <c r="B168">
        <f>IF(Presupuesto!B168="","",Presupuesto!C168)</f>
        <v/>
      </c>
      <c r="C168">
        <f>IF(Presupuesto!B168="","",Presupuesto!E168)</f>
        <v/>
      </c>
      <c r="D168">
        <f>IF(Presupuesto!B168="","",Presupuesto!F168)</f>
        <v/>
      </c>
      <c r="E168">
        <f>IF(Presupuesto!B168="","",Presupuesto!D168)</f>
        <v/>
      </c>
    </row>
    <row r="169">
      <c r="A169">
        <f>IF(Presupuesto!B169="","",Presupuesto!B169)</f>
        <v/>
      </c>
      <c r="B169">
        <f>IF(Presupuesto!B169="","",Presupuesto!C169)</f>
        <v/>
      </c>
      <c r="C169">
        <f>IF(Presupuesto!B169="","",Presupuesto!E169)</f>
        <v/>
      </c>
      <c r="D169">
        <f>IF(Presupuesto!B169="","",Presupuesto!F169)</f>
        <v/>
      </c>
      <c r="E169">
        <f>IF(Presupuesto!B169="","",Presupuesto!D169)</f>
        <v/>
      </c>
    </row>
    <row r="170">
      <c r="A170">
        <f>IF(Presupuesto!B170="","",Presupuesto!B170)</f>
        <v/>
      </c>
      <c r="B170">
        <f>IF(Presupuesto!B170="","",Presupuesto!C170)</f>
        <v/>
      </c>
      <c r="C170">
        <f>IF(Presupuesto!B170="","",Presupuesto!E170)</f>
        <v/>
      </c>
      <c r="D170">
        <f>IF(Presupuesto!B170="","",Presupuesto!F170)</f>
        <v/>
      </c>
      <c r="E170">
        <f>IF(Presupuesto!B170="","",Presupuesto!D170)</f>
        <v/>
      </c>
    </row>
    <row r="171">
      <c r="A171">
        <f>IF(Presupuesto!B171="","",Presupuesto!B171)</f>
        <v/>
      </c>
      <c r="B171">
        <f>IF(Presupuesto!B171="","",Presupuesto!C171)</f>
        <v/>
      </c>
      <c r="C171">
        <f>IF(Presupuesto!B171="","",Presupuesto!E171)</f>
        <v/>
      </c>
      <c r="D171">
        <f>IF(Presupuesto!B171="","",Presupuesto!F171)</f>
        <v/>
      </c>
      <c r="E171">
        <f>IF(Presupuesto!B171="","",Presupuesto!D171)</f>
        <v/>
      </c>
    </row>
    <row r="172">
      <c r="A172">
        <f>IF(Presupuesto!B172="","",Presupuesto!B172)</f>
        <v/>
      </c>
      <c r="B172">
        <f>IF(Presupuesto!B172="","",Presupuesto!C172)</f>
        <v/>
      </c>
      <c r="C172">
        <f>IF(Presupuesto!B172="","",Presupuesto!E172)</f>
        <v/>
      </c>
      <c r="D172">
        <f>IF(Presupuesto!B172="","",Presupuesto!F172)</f>
        <v/>
      </c>
      <c r="E172">
        <f>IF(Presupuesto!B172="","",Presupuesto!D172)</f>
        <v/>
      </c>
    </row>
    <row r="173">
      <c r="A173">
        <f>IF(Presupuesto!B173="","",Presupuesto!B173)</f>
        <v/>
      </c>
      <c r="B173">
        <f>IF(Presupuesto!B173="","",Presupuesto!C173)</f>
        <v/>
      </c>
      <c r="C173">
        <f>IF(Presupuesto!B173="","",Presupuesto!E173)</f>
        <v/>
      </c>
      <c r="D173">
        <f>IF(Presupuesto!B173="","",Presupuesto!F173)</f>
        <v/>
      </c>
      <c r="E173">
        <f>IF(Presupuesto!B173="","",Presupuesto!D173)</f>
        <v/>
      </c>
    </row>
    <row r="174">
      <c r="A174">
        <f>IF(Presupuesto!B174="","",Presupuesto!B174)</f>
        <v/>
      </c>
      <c r="B174">
        <f>IF(Presupuesto!B174="","",Presupuesto!C174)</f>
        <v/>
      </c>
      <c r="C174">
        <f>IF(Presupuesto!B174="","",Presupuesto!E174)</f>
        <v/>
      </c>
      <c r="D174">
        <f>IF(Presupuesto!B174="","",Presupuesto!F174)</f>
        <v/>
      </c>
      <c r="E174">
        <f>IF(Presupuesto!B174="","",Presupuesto!D174)</f>
        <v/>
      </c>
    </row>
    <row r="175">
      <c r="A175">
        <f>IF(Presupuesto!B175="","",Presupuesto!B175)</f>
        <v/>
      </c>
      <c r="B175">
        <f>IF(Presupuesto!B175="","",Presupuesto!C175)</f>
        <v/>
      </c>
      <c r="C175">
        <f>IF(Presupuesto!B175="","",Presupuesto!E175)</f>
        <v/>
      </c>
      <c r="D175">
        <f>IF(Presupuesto!B175="","",Presupuesto!F175)</f>
        <v/>
      </c>
      <c r="E175">
        <f>IF(Presupuesto!B175="","",Presupuesto!D175)</f>
        <v/>
      </c>
    </row>
    <row r="176">
      <c r="A176">
        <f>IF(Presupuesto!B176="","",Presupuesto!B176)</f>
        <v/>
      </c>
      <c r="B176">
        <f>IF(Presupuesto!B176="","",Presupuesto!C176)</f>
        <v/>
      </c>
      <c r="C176">
        <f>IF(Presupuesto!B176="","",Presupuesto!E176)</f>
        <v/>
      </c>
      <c r="D176">
        <f>IF(Presupuesto!B176="","",Presupuesto!F176)</f>
        <v/>
      </c>
      <c r="E176">
        <f>IF(Presupuesto!B176="","",Presupuesto!D176)</f>
        <v/>
      </c>
    </row>
    <row r="177">
      <c r="A177">
        <f>IF(Presupuesto!B177="","",Presupuesto!B177)</f>
        <v/>
      </c>
      <c r="B177">
        <f>IF(Presupuesto!B177="","",Presupuesto!C177)</f>
        <v/>
      </c>
      <c r="C177">
        <f>IF(Presupuesto!B177="","",Presupuesto!E177)</f>
        <v/>
      </c>
      <c r="D177">
        <f>IF(Presupuesto!B177="","",Presupuesto!F177)</f>
        <v/>
      </c>
      <c r="E177">
        <f>IF(Presupuesto!B177="","",Presupuesto!D177)</f>
        <v/>
      </c>
    </row>
    <row r="178">
      <c r="A178">
        <f>IF(Presupuesto!B178="","",Presupuesto!B178)</f>
        <v/>
      </c>
      <c r="B178">
        <f>IF(Presupuesto!B178="","",Presupuesto!C178)</f>
        <v/>
      </c>
      <c r="C178">
        <f>IF(Presupuesto!B178="","",Presupuesto!E178)</f>
        <v/>
      </c>
      <c r="D178">
        <f>IF(Presupuesto!B178="","",Presupuesto!F178)</f>
        <v/>
      </c>
      <c r="E178">
        <f>IF(Presupuesto!B178="","",Presupuesto!D178)</f>
        <v/>
      </c>
    </row>
    <row r="179">
      <c r="A179">
        <f>IF(Presupuesto!B179="","",Presupuesto!B179)</f>
        <v/>
      </c>
      <c r="B179">
        <f>IF(Presupuesto!B179="","",Presupuesto!C179)</f>
        <v/>
      </c>
      <c r="C179">
        <f>IF(Presupuesto!B179="","",Presupuesto!E179)</f>
        <v/>
      </c>
      <c r="D179">
        <f>IF(Presupuesto!B179="","",Presupuesto!F179)</f>
        <v/>
      </c>
      <c r="E179">
        <f>IF(Presupuesto!B179="","",Presupuesto!D179)</f>
        <v/>
      </c>
    </row>
    <row r="180">
      <c r="A180">
        <f>IF(Presupuesto!B180="","",Presupuesto!B180)</f>
        <v/>
      </c>
      <c r="B180">
        <f>IF(Presupuesto!B180="","",Presupuesto!C180)</f>
        <v/>
      </c>
      <c r="C180">
        <f>IF(Presupuesto!B180="","",Presupuesto!E180)</f>
        <v/>
      </c>
      <c r="D180">
        <f>IF(Presupuesto!B180="","",Presupuesto!F180)</f>
        <v/>
      </c>
      <c r="E180">
        <f>IF(Presupuesto!B180="","",Presupuesto!D180)</f>
        <v/>
      </c>
    </row>
    <row r="181">
      <c r="A181">
        <f>IF(Presupuesto!B181="","",Presupuesto!B181)</f>
        <v/>
      </c>
      <c r="B181">
        <f>IF(Presupuesto!B181="","",Presupuesto!C181)</f>
        <v/>
      </c>
      <c r="C181">
        <f>IF(Presupuesto!B181="","",Presupuesto!E181)</f>
        <v/>
      </c>
      <c r="D181">
        <f>IF(Presupuesto!B181="","",Presupuesto!F181)</f>
        <v/>
      </c>
      <c r="E181">
        <f>IF(Presupuesto!B181="","",Presupuesto!D181)</f>
        <v/>
      </c>
    </row>
    <row r="182">
      <c r="A182">
        <f>IF(Presupuesto!B182="","",Presupuesto!B182)</f>
        <v/>
      </c>
      <c r="B182">
        <f>IF(Presupuesto!B182="","",Presupuesto!C182)</f>
        <v/>
      </c>
      <c r="C182">
        <f>IF(Presupuesto!B182="","",Presupuesto!E182)</f>
        <v/>
      </c>
      <c r="D182">
        <f>IF(Presupuesto!B182="","",Presupuesto!F182)</f>
        <v/>
      </c>
      <c r="E182">
        <f>IF(Presupuesto!B182="","",Presupuesto!D182)</f>
        <v/>
      </c>
    </row>
    <row r="183">
      <c r="A183">
        <f>IF(Presupuesto!B183="","",Presupuesto!B183)</f>
        <v/>
      </c>
      <c r="B183">
        <f>IF(Presupuesto!B183="","",Presupuesto!C183)</f>
        <v/>
      </c>
      <c r="C183">
        <f>IF(Presupuesto!B183="","",Presupuesto!E183)</f>
        <v/>
      </c>
      <c r="D183">
        <f>IF(Presupuesto!B183="","",Presupuesto!F183)</f>
        <v/>
      </c>
      <c r="E183">
        <f>IF(Presupuesto!B183="","",Presupuesto!D183)</f>
        <v/>
      </c>
    </row>
    <row r="184">
      <c r="A184">
        <f>IF(Presupuesto!B184="","",Presupuesto!B184)</f>
        <v/>
      </c>
      <c r="B184">
        <f>IF(Presupuesto!B184="","",Presupuesto!C184)</f>
        <v/>
      </c>
      <c r="C184">
        <f>IF(Presupuesto!B184="","",Presupuesto!E184)</f>
        <v/>
      </c>
      <c r="D184">
        <f>IF(Presupuesto!B184="","",Presupuesto!F184)</f>
        <v/>
      </c>
      <c r="E184">
        <f>IF(Presupuesto!B184="","",Presupuesto!D184)</f>
        <v/>
      </c>
    </row>
    <row r="185">
      <c r="A185">
        <f>IF(Presupuesto!B185="","",Presupuesto!B185)</f>
        <v/>
      </c>
      <c r="B185">
        <f>IF(Presupuesto!B185="","",Presupuesto!C185)</f>
        <v/>
      </c>
      <c r="C185">
        <f>IF(Presupuesto!B185="","",Presupuesto!E185)</f>
        <v/>
      </c>
      <c r="D185">
        <f>IF(Presupuesto!B185="","",Presupuesto!F185)</f>
        <v/>
      </c>
      <c r="E185">
        <f>IF(Presupuesto!B185="","",Presupuesto!D185)</f>
        <v/>
      </c>
    </row>
    <row r="186">
      <c r="A186">
        <f>IF(Presupuesto!B186="","",Presupuesto!B186)</f>
        <v/>
      </c>
      <c r="B186">
        <f>IF(Presupuesto!B186="","",Presupuesto!C186)</f>
        <v/>
      </c>
      <c r="C186">
        <f>IF(Presupuesto!B186="","",Presupuesto!E186)</f>
        <v/>
      </c>
      <c r="D186">
        <f>IF(Presupuesto!B186="","",Presupuesto!F186)</f>
        <v/>
      </c>
      <c r="E186">
        <f>IF(Presupuesto!B186="","",Presupuesto!D186)</f>
        <v/>
      </c>
    </row>
    <row r="187">
      <c r="A187">
        <f>IF(Presupuesto!B187="","",Presupuesto!B187)</f>
        <v/>
      </c>
      <c r="B187">
        <f>IF(Presupuesto!B187="","",Presupuesto!C187)</f>
        <v/>
      </c>
      <c r="C187">
        <f>IF(Presupuesto!B187="","",Presupuesto!E187)</f>
        <v/>
      </c>
      <c r="D187">
        <f>IF(Presupuesto!B187="","",Presupuesto!F187)</f>
        <v/>
      </c>
      <c r="E187">
        <f>IF(Presupuesto!B187="","",Presupuesto!D187)</f>
        <v/>
      </c>
    </row>
    <row r="188">
      <c r="A188">
        <f>IF(Presupuesto!B188="","",Presupuesto!B188)</f>
        <v/>
      </c>
      <c r="B188">
        <f>IF(Presupuesto!B188="","",Presupuesto!C188)</f>
        <v/>
      </c>
      <c r="C188">
        <f>IF(Presupuesto!B188="","",Presupuesto!E188)</f>
        <v/>
      </c>
      <c r="D188">
        <f>IF(Presupuesto!B188="","",Presupuesto!F188)</f>
        <v/>
      </c>
      <c r="E188">
        <f>IF(Presupuesto!B188="","",Presupuesto!D188)</f>
        <v/>
      </c>
    </row>
    <row r="189">
      <c r="A189">
        <f>IF(Presupuesto!B189="","",Presupuesto!B189)</f>
        <v/>
      </c>
      <c r="B189">
        <f>IF(Presupuesto!B189="","",Presupuesto!C189)</f>
        <v/>
      </c>
      <c r="C189">
        <f>IF(Presupuesto!B189="","",Presupuesto!E189)</f>
        <v/>
      </c>
      <c r="D189">
        <f>IF(Presupuesto!B189="","",Presupuesto!F189)</f>
        <v/>
      </c>
      <c r="E189">
        <f>IF(Presupuesto!B189="","",Presupuesto!D189)</f>
        <v/>
      </c>
    </row>
    <row r="190">
      <c r="A190">
        <f>IF(Presupuesto!B190="","",Presupuesto!B190)</f>
        <v/>
      </c>
      <c r="B190">
        <f>IF(Presupuesto!B190="","",Presupuesto!C190)</f>
        <v/>
      </c>
      <c r="C190">
        <f>IF(Presupuesto!B190="","",Presupuesto!E190)</f>
        <v/>
      </c>
      <c r="D190">
        <f>IF(Presupuesto!B190="","",Presupuesto!F190)</f>
        <v/>
      </c>
      <c r="E190">
        <f>IF(Presupuesto!B190="","",Presupuesto!D190)</f>
        <v/>
      </c>
    </row>
    <row r="191">
      <c r="A191">
        <f>IF(Presupuesto!B191="","",Presupuesto!B191)</f>
        <v/>
      </c>
      <c r="B191">
        <f>IF(Presupuesto!B191="","",Presupuesto!C191)</f>
        <v/>
      </c>
      <c r="C191">
        <f>IF(Presupuesto!B191="","",Presupuesto!E191)</f>
        <v/>
      </c>
      <c r="D191">
        <f>IF(Presupuesto!B191="","",Presupuesto!F191)</f>
        <v/>
      </c>
      <c r="E191">
        <f>IF(Presupuesto!B191="","",Presupuesto!D191)</f>
        <v/>
      </c>
    </row>
    <row r="192">
      <c r="A192">
        <f>IF(Presupuesto!B192="","",Presupuesto!B192)</f>
        <v/>
      </c>
      <c r="B192">
        <f>IF(Presupuesto!B192="","",Presupuesto!C192)</f>
        <v/>
      </c>
      <c r="C192">
        <f>IF(Presupuesto!B192="","",Presupuesto!E192)</f>
        <v/>
      </c>
      <c r="D192">
        <f>IF(Presupuesto!B192="","",Presupuesto!F192)</f>
        <v/>
      </c>
      <c r="E192">
        <f>IF(Presupuesto!B192="","",Presupuesto!D192)</f>
        <v/>
      </c>
    </row>
    <row r="193">
      <c r="A193">
        <f>IF(Presupuesto!B193="","",Presupuesto!B193)</f>
        <v/>
      </c>
      <c r="B193">
        <f>IF(Presupuesto!B193="","",Presupuesto!C193)</f>
        <v/>
      </c>
      <c r="C193">
        <f>IF(Presupuesto!B193="","",Presupuesto!E193)</f>
        <v/>
      </c>
      <c r="D193">
        <f>IF(Presupuesto!B193="","",Presupuesto!F193)</f>
        <v/>
      </c>
      <c r="E193">
        <f>IF(Presupuesto!B193="","",Presupuesto!D193)</f>
        <v/>
      </c>
    </row>
    <row r="194">
      <c r="A194">
        <f>IF(Presupuesto!B194="","",Presupuesto!B194)</f>
        <v/>
      </c>
      <c r="B194">
        <f>IF(Presupuesto!B194="","",Presupuesto!C194)</f>
        <v/>
      </c>
      <c r="C194">
        <f>IF(Presupuesto!B194="","",Presupuesto!E194)</f>
        <v/>
      </c>
      <c r="D194">
        <f>IF(Presupuesto!B194="","",Presupuesto!F194)</f>
        <v/>
      </c>
      <c r="E194">
        <f>IF(Presupuesto!B194="","",Presupuesto!D194)</f>
        <v/>
      </c>
    </row>
    <row r="195">
      <c r="A195">
        <f>IF(Presupuesto!B195="","",Presupuesto!B195)</f>
        <v/>
      </c>
      <c r="B195">
        <f>IF(Presupuesto!B195="","",Presupuesto!C195)</f>
        <v/>
      </c>
      <c r="C195">
        <f>IF(Presupuesto!B195="","",Presupuesto!E195)</f>
        <v/>
      </c>
      <c r="D195">
        <f>IF(Presupuesto!B195="","",Presupuesto!F195)</f>
        <v/>
      </c>
      <c r="E195">
        <f>IF(Presupuesto!B195="","",Presupuesto!D195)</f>
        <v/>
      </c>
    </row>
    <row r="196">
      <c r="A196">
        <f>IF(Presupuesto!B196="","",Presupuesto!B196)</f>
        <v/>
      </c>
      <c r="B196">
        <f>IF(Presupuesto!B196="","",Presupuesto!C196)</f>
        <v/>
      </c>
      <c r="C196">
        <f>IF(Presupuesto!B196="","",Presupuesto!E196)</f>
        <v/>
      </c>
      <c r="D196">
        <f>IF(Presupuesto!B196="","",Presupuesto!F196)</f>
        <v/>
      </c>
      <c r="E196">
        <f>IF(Presupuesto!B196="","",Presupuesto!D196)</f>
        <v/>
      </c>
    </row>
    <row r="197">
      <c r="A197">
        <f>IF(Presupuesto!B197="","",Presupuesto!B197)</f>
        <v/>
      </c>
      <c r="B197">
        <f>IF(Presupuesto!B197="","",Presupuesto!C197)</f>
        <v/>
      </c>
      <c r="C197">
        <f>IF(Presupuesto!B197="","",Presupuesto!E197)</f>
        <v/>
      </c>
      <c r="D197">
        <f>IF(Presupuesto!B197="","",Presupuesto!F197)</f>
        <v/>
      </c>
      <c r="E197">
        <f>IF(Presupuesto!B197="","",Presupuesto!D197)</f>
        <v/>
      </c>
    </row>
    <row r="198">
      <c r="A198">
        <f>IF(Presupuesto!B198="","",Presupuesto!B198)</f>
        <v/>
      </c>
      <c r="B198">
        <f>IF(Presupuesto!B198="","",Presupuesto!C198)</f>
        <v/>
      </c>
      <c r="C198">
        <f>IF(Presupuesto!B198="","",Presupuesto!E198)</f>
        <v/>
      </c>
      <c r="D198">
        <f>IF(Presupuesto!B198="","",Presupuesto!F198)</f>
        <v/>
      </c>
      <c r="E198">
        <f>IF(Presupuesto!B198="","",Presupuesto!D198)</f>
        <v/>
      </c>
    </row>
    <row r="199">
      <c r="A199">
        <f>IF(Presupuesto!B199="","",Presupuesto!B199)</f>
        <v/>
      </c>
      <c r="B199">
        <f>IF(Presupuesto!B199="","",Presupuesto!C199)</f>
        <v/>
      </c>
      <c r="C199">
        <f>IF(Presupuesto!B199="","",Presupuesto!E199)</f>
        <v/>
      </c>
      <c r="D199">
        <f>IF(Presupuesto!B199="","",Presupuesto!F199)</f>
        <v/>
      </c>
      <c r="E199">
        <f>IF(Presupuesto!B199="","",Presupuesto!D199)</f>
        <v/>
      </c>
    </row>
    <row r="200">
      <c r="A200">
        <f>IF(Presupuesto!B200="","",Presupuesto!B200)</f>
        <v/>
      </c>
      <c r="B200">
        <f>IF(Presupuesto!B200="","",Presupuesto!C200)</f>
        <v/>
      </c>
      <c r="C200">
        <f>IF(Presupuesto!B200="","",Presupuesto!E200)</f>
        <v/>
      </c>
      <c r="D200">
        <f>IF(Presupuesto!B200="","",Presupuesto!F200)</f>
        <v/>
      </c>
      <c r="E200">
        <f>IF(Presupuesto!B200="","",Presupuesto!D200)</f>
        <v/>
      </c>
    </row>
    <row r="201">
      <c r="A201">
        <f>IF(Presupuesto!B201="","",Presupuesto!B201)</f>
        <v/>
      </c>
      <c r="B201">
        <f>IF(Presupuesto!B201="","",Presupuesto!C201)</f>
        <v/>
      </c>
      <c r="C201">
        <f>IF(Presupuesto!B201="","",Presupuesto!E201)</f>
        <v/>
      </c>
      <c r="D201">
        <f>IF(Presupuesto!B201="","",Presupuesto!F201)</f>
        <v/>
      </c>
      <c r="E201">
        <f>IF(Presupuesto!B201="","",Presupuesto!D201)</f>
        <v/>
      </c>
    </row>
    <row r="202">
      <c r="A202">
        <f>IF(Presupuesto!B202="","",Presupuesto!B202)</f>
        <v/>
      </c>
      <c r="B202">
        <f>IF(Presupuesto!B202="","",Presupuesto!C202)</f>
        <v/>
      </c>
      <c r="C202">
        <f>IF(Presupuesto!B202="","",Presupuesto!E202)</f>
        <v/>
      </c>
      <c r="D202">
        <f>IF(Presupuesto!B202="","",Presupuesto!F202)</f>
        <v/>
      </c>
      <c r="E202">
        <f>IF(Presupuesto!B202="","",Presupuesto!D202)</f>
        <v/>
      </c>
    </row>
    <row r="203">
      <c r="A203">
        <f>IF(Presupuesto!B203="","",Presupuesto!B203)</f>
        <v/>
      </c>
      <c r="B203">
        <f>IF(Presupuesto!B203="","",Presupuesto!C203)</f>
        <v/>
      </c>
      <c r="C203">
        <f>IF(Presupuesto!B203="","",Presupuesto!E203)</f>
        <v/>
      </c>
      <c r="D203">
        <f>IF(Presupuesto!B203="","",Presupuesto!F203)</f>
        <v/>
      </c>
      <c r="E203">
        <f>IF(Presupuesto!B203="","",Presupuesto!D203)</f>
        <v/>
      </c>
    </row>
    <row r="204">
      <c r="A204">
        <f>IF(Presupuesto!B204="","",Presupuesto!B204)</f>
        <v/>
      </c>
      <c r="B204">
        <f>IF(Presupuesto!B204="","",Presupuesto!C204)</f>
        <v/>
      </c>
      <c r="C204">
        <f>IF(Presupuesto!B204="","",Presupuesto!E204)</f>
        <v/>
      </c>
      <c r="D204">
        <f>IF(Presupuesto!B204="","",Presupuesto!F204)</f>
        <v/>
      </c>
      <c r="E204">
        <f>IF(Presupuesto!B204="","",Presupuesto!D204)</f>
        <v/>
      </c>
    </row>
    <row r="205">
      <c r="A205">
        <f>IF(Presupuesto!B205="","",Presupuesto!B205)</f>
        <v/>
      </c>
      <c r="B205">
        <f>IF(Presupuesto!B205="","",Presupuesto!C205)</f>
        <v/>
      </c>
      <c r="C205">
        <f>IF(Presupuesto!B205="","",Presupuesto!E205)</f>
        <v/>
      </c>
      <c r="D205">
        <f>IF(Presupuesto!B205="","",Presupuesto!F205)</f>
        <v/>
      </c>
      <c r="E205">
        <f>IF(Presupuesto!B205="","",Presupuesto!D205)</f>
        <v/>
      </c>
    </row>
    <row r="206">
      <c r="A206">
        <f>IF(Presupuesto!B206="","",Presupuesto!B206)</f>
        <v/>
      </c>
      <c r="B206">
        <f>IF(Presupuesto!B206="","",Presupuesto!C206)</f>
        <v/>
      </c>
      <c r="C206">
        <f>IF(Presupuesto!B206="","",Presupuesto!E206)</f>
        <v/>
      </c>
      <c r="D206">
        <f>IF(Presupuesto!B206="","",Presupuesto!F206)</f>
        <v/>
      </c>
      <c r="E206">
        <f>IF(Presupuesto!B206="","",Presupuesto!D206)</f>
        <v/>
      </c>
    </row>
    <row r="207">
      <c r="A207">
        <f>IF(Presupuesto!B207="","",Presupuesto!B207)</f>
        <v/>
      </c>
      <c r="B207">
        <f>IF(Presupuesto!B207="","",Presupuesto!C207)</f>
        <v/>
      </c>
      <c r="C207">
        <f>IF(Presupuesto!B207="","",Presupuesto!E207)</f>
        <v/>
      </c>
      <c r="D207">
        <f>IF(Presupuesto!B207="","",Presupuesto!F207)</f>
        <v/>
      </c>
      <c r="E207">
        <f>IF(Presupuesto!B207="","",Presupuesto!D207)</f>
        <v/>
      </c>
    </row>
    <row r="208">
      <c r="A208">
        <f>IF(Presupuesto!B208="","",Presupuesto!B208)</f>
        <v/>
      </c>
      <c r="B208">
        <f>IF(Presupuesto!B208="","",Presupuesto!C208)</f>
        <v/>
      </c>
      <c r="C208">
        <f>IF(Presupuesto!B208="","",Presupuesto!E208)</f>
        <v/>
      </c>
      <c r="D208">
        <f>IF(Presupuesto!B208="","",Presupuesto!F208)</f>
        <v/>
      </c>
      <c r="E208">
        <f>IF(Presupuesto!B208="","",Presupuesto!D208)</f>
        <v/>
      </c>
    </row>
    <row r="209">
      <c r="A209">
        <f>IF(Presupuesto!B209="","",Presupuesto!B209)</f>
        <v/>
      </c>
      <c r="B209">
        <f>IF(Presupuesto!B209="","",Presupuesto!C209)</f>
        <v/>
      </c>
      <c r="C209">
        <f>IF(Presupuesto!B209="","",Presupuesto!E209)</f>
        <v/>
      </c>
      <c r="D209">
        <f>IF(Presupuesto!B209="","",Presupuesto!F209)</f>
        <v/>
      </c>
      <c r="E209">
        <f>IF(Presupuesto!B209="","",Presupuesto!D209)</f>
        <v/>
      </c>
    </row>
    <row r="210">
      <c r="A210">
        <f>IF(Presupuesto!B210="","",Presupuesto!B210)</f>
        <v/>
      </c>
      <c r="B210">
        <f>IF(Presupuesto!B210="","",Presupuesto!C210)</f>
        <v/>
      </c>
      <c r="C210">
        <f>IF(Presupuesto!B210="","",Presupuesto!E210)</f>
        <v/>
      </c>
      <c r="D210">
        <f>IF(Presupuesto!B210="","",Presupuesto!F210)</f>
        <v/>
      </c>
      <c r="E210">
        <f>IF(Presupuesto!B210="","",Presupuesto!D210)</f>
        <v/>
      </c>
    </row>
    <row r="211">
      <c r="A211">
        <f>IF(Presupuesto!B211="","",Presupuesto!B211)</f>
        <v/>
      </c>
      <c r="B211">
        <f>IF(Presupuesto!B211="","",Presupuesto!C211)</f>
        <v/>
      </c>
      <c r="C211">
        <f>IF(Presupuesto!B211="","",Presupuesto!E211)</f>
        <v/>
      </c>
      <c r="D211">
        <f>IF(Presupuesto!B211="","",Presupuesto!F211)</f>
        <v/>
      </c>
      <c r="E211">
        <f>IF(Presupuesto!B211="","",Presupuesto!D211)</f>
        <v/>
      </c>
    </row>
    <row r="212">
      <c r="A212">
        <f>IF(Presupuesto!B212="","",Presupuesto!B212)</f>
        <v/>
      </c>
      <c r="B212">
        <f>IF(Presupuesto!B212="","",Presupuesto!C212)</f>
        <v/>
      </c>
      <c r="C212">
        <f>IF(Presupuesto!B212="","",Presupuesto!E212)</f>
        <v/>
      </c>
      <c r="D212">
        <f>IF(Presupuesto!B212="","",Presupuesto!F212)</f>
        <v/>
      </c>
      <c r="E212">
        <f>IF(Presupuesto!B212="","",Presupuesto!D212)</f>
        <v/>
      </c>
    </row>
    <row r="213">
      <c r="A213">
        <f>IF(Presupuesto!B213="","",Presupuesto!B213)</f>
        <v/>
      </c>
      <c r="B213">
        <f>IF(Presupuesto!B213="","",Presupuesto!C213)</f>
        <v/>
      </c>
      <c r="C213">
        <f>IF(Presupuesto!B213="","",Presupuesto!E213)</f>
        <v/>
      </c>
      <c r="D213">
        <f>IF(Presupuesto!B213="","",Presupuesto!F213)</f>
        <v/>
      </c>
      <c r="E213">
        <f>IF(Presupuesto!B213="","",Presupuesto!D213)</f>
        <v/>
      </c>
    </row>
    <row r="214">
      <c r="A214">
        <f>IF(Presupuesto!B214="","",Presupuesto!B214)</f>
        <v/>
      </c>
      <c r="B214">
        <f>IF(Presupuesto!B214="","",Presupuesto!C214)</f>
        <v/>
      </c>
      <c r="C214">
        <f>IF(Presupuesto!B214="","",Presupuesto!E214)</f>
        <v/>
      </c>
      <c r="D214">
        <f>IF(Presupuesto!B214="","",Presupuesto!F214)</f>
        <v/>
      </c>
      <c r="E214">
        <f>IF(Presupuesto!B214="","",Presupuesto!D214)</f>
        <v/>
      </c>
    </row>
    <row r="215">
      <c r="A215">
        <f>IF(Presupuesto!B215="","",Presupuesto!B215)</f>
        <v/>
      </c>
      <c r="B215">
        <f>IF(Presupuesto!B215="","",Presupuesto!C215)</f>
        <v/>
      </c>
      <c r="C215">
        <f>IF(Presupuesto!B215="","",Presupuesto!E215)</f>
        <v/>
      </c>
      <c r="D215">
        <f>IF(Presupuesto!B215="","",Presupuesto!F215)</f>
        <v/>
      </c>
      <c r="E215">
        <f>IF(Presupuesto!B215="","",Presupuesto!D215)</f>
        <v/>
      </c>
    </row>
    <row r="216">
      <c r="A216">
        <f>IF(Presupuesto!B216="","",Presupuesto!B216)</f>
        <v/>
      </c>
      <c r="B216">
        <f>IF(Presupuesto!B216="","",Presupuesto!C216)</f>
        <v/>
      </c>
      <c r="C216">
        <f>IF(Presupuesto!B216="","",Presupuesto!E216)</f>
        <v/>
      </c>
      <c r="D216">
        <f>IF(Presupuesto!B216="","",Presupuesto!F216)</f>
        <v/>
      </c>
      <c r="E216">
        <f>IF(Presupuesto!B216="","",Presupuesto!D216)</f>
        <v/>
      </c>
    </row>
    <row r="217">
      <c r="A217">
        <f>IF(Presupuesto!B217="","",Presupuesto!B217)</f>
        <v/>
      </c>
      <c r="B217">
        <f>IF(Presupuesto!B217="","",Presupuesto!C217)</f>
        <v/>
      </c>
      <c r="C217">
        <f>IF(Presupuesto!B217="","",Presupuesto!E217)</f>
        <v/>
      </c>
      <c r="D217">
        <f>IF(Presupuesto!B217="","",Presupuesto!F217)</f>
        <v/>
      </c>
      <c r="E217">
        <f>IF(Presupuesto!B217="","",Presupuesto!D217)</f>
        <v/>
      </c>
    </row>
    <row r="218">
      <c r="A218">
        <f>IF(Presupuesto!B218="","",Presupuesto!B218)</f>
        <v/>
      </c>
      <c r="B218">
        <f>IF(Presupuesto!B218="","",Presupuesto!C218)</f>
        <v/>
      </c>
      <c r="C218">
        <f>IF(Presupuesto!B218="","",Presupuesto!E218)</f>
        <v/>
      </c>
      <c r="D218">
        <f>IF(Presupuesto!B218="","",Presupuesto!F218)</f>
        <v/>
      </c>
      <c r="E218">
        <f>IF(Presupuesto!B218="","",Presupuesto!D218)</f>
        <v/>
      </c>
    </row>
    <row r="219">
      <c r="A219">
        <f>IF(Presupuesto!B219="","",Presupuesto!B219)</f>
        <v/>
      </c>
      <c r="B219">
        <f>IF(Presupuesto!B219="","",Presupuesto!C219)</f>
        <v/>
      </c>
      <c r="C219">
        <f>IF(Presupuesto!B219="","",Presupuesto!E219)</f>
        <v/>
      </c>
      <c r="D219">
        <f>IF(Presupuesto!B219="","",Presupuesto!F219)</f>
        <v/>
      </c>
      <c r="E219">
        <f>IF(Presupuesto!B219="","",Presupuesto!D219)</f>
        <v/>
      </c>
    </row>
    <row r="220">
      <c r="A220">
        <f>IF(Presupuesto!B220="","",Presupuesto!B220)</f>
        <v/>
      </c>
      <c r="B220">
        <f>IF(Presupuesto!B220="","",Presupuesto!C220)</f>
        <v/>
      </c>
      <c r="C220">
        <f>IF(Presupuesto!B220="","",Presupuesto!E220)</f>
        <v/>
      </c>
      <c r="D220">
        <f>IF(Presupuesto!B220="","",Presupuesto!F220)</f>
        <v/>
      </c>
      <c r="E220">
        <f>IF(Presupuesto!B220="","",Presupuesto!D220)</f>
        <v/>
      </c>
    </row>
    <row r="221">
      <c r="A221">
        <f>IF(Presupuesto!B221="","",Presupuesto!B221)</f>
        <v/>
      </c>
      <c r="B221">
        <f>IF(Presupuesto!B221="","",Presupuesto!C221)</f>
        <v/>
      </c>
      <c r="C221">
        <f>IF(Presupuesto!B221="","",Presupuesto!E221)</f>
        <v/>
      </c>
      <c r="D221">
        <f>IF(Presupuesto!B221="","",Presupuesto!F221)</f>
        <v/>
      </c>
      <c r="E221">
        <f>IF(Presupuesto!B221="","",Presupuesto!D221)</f>
        <v/>
      </c>
    </row>
    <row r="222">
      <c r="A222">
        <f>IF(Presupuesto!B222="","",Presupuesto!B222)</f>
        <v/>
      </c>
      <c r="B222">
        <f>IF(Presupuesto!B222="","",Presupuesto!C222)</f>
        <v/>
      </c>
      <c r="C222">
        <f>IF(Presupuesto!B222="","",Presupuesto!E222)</f>
        <v/>
      </c>
      <c r="D222">
        <f>IF(Presupuesto!B222="","",Presupuesto!F222)</f>
        <v/>
      </c>
      <c r="E222">
        <f>IF(Presupuesto!B222="","",Presupuesto!D222)</f>
        <v/>
      </c>
    </row>
    <row r="223">
      <c r="A223">
        <f>IF(Presupuesto!B223="","",Presupuesto!B223)</f>
        <v/>
      </c>
      <c r="B223">
        <f>IF(Presupuesto!B223="","",Presupuesto!C223)</f>
        <v/>
      </c>
      <c r="C223">
        <f>IF(Presupuesto!B223="","",Presupuesto!E223)</f>
        <v/>
      </c>
      <c r="D223">
        <f>IF(Presupuesto!B223="","",Presupuesto!F223)</f>
        <v/>
      </c>
      <c r="E223">
        <f>IF(Presupuesto!B223="","",Presupuesto!D223)</f>
        <v/>
      </c>
    </row>
    <row r="224">
      <c r="A224">
        <f>IF(Presupuesto!B224="","",Presupuesto!B224)</f>
        <v/>
      </c>
      <c r="B224">
        <f>IF(Presupuesto!B224="","",Presupuesto!C224)</f>
        <v/>
      </c>
      <c r="C224">
        <f>IF(Presupuesto!B224="","",Presupuesto!E224)</f>
        <v/>
      </c>
      <c r="D224">
        <f>IF(Presupuesto!B224="","",Presupuesto!F224)</f>
        <v/>
      </c>
      <c r="E224">
        <f>IF(Presupuesto!B224="","",Presupuesto!D224)</f>
        <v/>
      </c>
    </row>
    <row r="225">
      <c r="A225">
        <f>IF(Presupuesto!B225="","",Presupuesto!B225)</f>
        <v/>
      </c>
      <c r="B225">
        <f>IF(Presupuesto!B225="","",Presupuesto!C225)</f>
        <v/>
      </c>
      <c r="C225">
        <f>IF(Presupuesto!B225="","",Presupuesto!E225)</f>
        <v/>
      </c>
      <c r="D225">
        <f>IF(Presupuesto!B225="","",Presupuesto!F225)</f>
        <v/>
      </c>
      <c r="E225">
        <f>IF(Presupuesto!B225="","",Presupuesto!D225)</f>
        <v/>
      </c>
    </row>
    <row r="226">
      <c r="A226">
        <f>IF(Presupuesto!B226="","",Presupuesto!B226)</f>
        <v/>
      </c>
      <c r="B226">
        <f>IF(Presupuesto!B226="","",Presupuesto!C226)</f>
        <v/>
      </c>
      <c r="C226">
        <f>IF(Presupuesto!B226="","",Presupuesto!E226)</f>
        <v/>
      </c>
      <c r="D226">
        <f>IF(Presupuesto!B226="","",Presupuesto!F226)</f>
        <v/>
      </c>
      <c r="E226">
        <f>IF(Presupuesto!B226="","",Presupuesto!D226)</f>
        <v/>
      </c>
    </row>
    <row r="227">
      <c r="A227">
        <f>IF(Presupuesto!B227="","",Presupuesto!B227)</f>
        <v/>
      </c>
      <c r="B227">
        <f>IF(Presupuesto!B227="","",Presupuesto!C227)</f>
        <v/>
      </c>
      <c r="C227">
        <f>IF(Presupuesto!B227="","",Presupuesto!E227)</f>
        <v/>
      </c>
      <c r="D227">
        <f>IF(Presupuesto!B227="","",Presupuesto!F227)</f>
        <v/>
      </c>
      <c r="E227">
        <f>IF(Presupuesto!B227="","",Presupuesto!D227)</f>
        <v/>
      </c>
    </row>
    <row r="228">
      <c r="A228">
        <f>IF(Presupuesto!B228="","",Presupuesto!B228)</f>
        <v/>
      </c>
      <c r="B228">
        <f>IF(Presupuesto!B228="","",Presupuesto!C228)</f>
        <v/>
      </c>
      <c r="C228">
        <f>IF(Presupuesto!B228="","",Presupuesto!E228)</f>
        <v/>
      </c>
      <c r="D228">
        <f>IF(Presupuesto!B228="","",Presupuesto!F228)</f>
        <v/>
      </c>
      <c r="E228">
        <f>IF(Presupuesto!B228="","",Presupuesto!D228)</f>
        <v/>
      </c>
    </row>
    <row r="229">
      <c r="A229">
        <f>IF(Presupuesto!B229="","",Presupuesto!B229)</f>
        <v/>
      </c>
      <c r="B229">
        <f>IF(Presupuesto!B229="","",Presupuesto!C229)</f>
        <v/>
      </c>
      <c r="C229">
        <f>IF(Presupuesto!B229="","",Presupuesto!E229)</f>
        <v/>
      </c>
      <c r="D229">
        <f>IF(Presupuesto!B229="","",Presupuesto!F229)</f>
        <v/>
      </c>
      <c r="E229">
        <f>IF(Presupuesto!B229="","",Presupuesto!D229)</f>
        <v/>
      </c>
    </row>
    <row r="230">
      <c r="A230">
        <f>IF(Presupuesto!B230="","",Presupuesto!B230)</f>
        <v/>
      </c>
      <c r="B230">
        <f>IF(Presupuesto!B230="","",Presupuesto!C230)</f>
        <v/>
      </c>
      <c r="C230">
        <f>IF(Presupuesto!B230="","",Presupuesto!E230)</f>
        <v/>
      </c>
      <c r="D230">
        <f>IF(Presupuesto!B230="","",Presupuesto!F230)</f>
        <v/>
      </c>
      <c r="E230">
        <f>IF(Presupuesto!B230="","",Presupuesto!D230)</f>
        <v/>
      </c>
    </row>
    <row r="231">
      <c r="A231">
        <f>IF(Presupuesto!B231="","",Presupuesto!B231)</f>
        <v/>
      </c>
      <c r="B231">
        <f>IF(Presupuesto!B231="","",Presupuesto!C231)</f>
        <v/>
      </c>
      <c r="C231">
        <f>IF(Presupuesto!B231="","",Presupuesto!E231)</f>
        <v/>
      </c>
      <c r="D231">
        <f>IF(Presupuesto!B231="","",Presupuesto!F231)</f>
        <v/>
      </c>
      <c r="E231">
        <f>IF(Presupuesto!B231="","",Presupuesto!D231)</f>
        <v/>
      </c>
    </row>
    <row r="232">
      <c r="A232">
        <f>IF(Presupuesto!B232="","",Presupuesto!B232)</f>
        <v/>
      </c>
      <c r="B232">
        <f>IF(Presupuesto!B232="","",Presupuesto!C232)</f>
        <v/>
      </c>
      <c r="C232">
        <f>IF(Presupuesto!B232="","",Presupuesto!E232)</f>
        <v/>
      </c>
      <c r="D232">
        <f>IF(Presupuesto!B232="","",Presupuesto!F232)</f>
        <v/>
      </c>
      <c r="E232">
        <f>IF(Presupuesto!B232="","",Presupuesto!D232)</f>
        <v/>
      </c>
    </row>
    <row r="233">
      <c r="A233">
        <f>IF(Presupuesto!B233="","",Presupuesto!B233)</f>
        <v/>
      </c>
      <c r="B233">
        <f>IF(Presupuesto!B233="","",Presupuesto!C233)</f>
        <v/>
      </c>
      <c r="C233">
        <f>IF(Presupuesto!B233="","",Presupuesto!E233)</f>
        <v/>
      </c>
      <c r="D233">
        <f>IF(Presupuesto!B233="","",Presupuesto!F233)</f>
        <v/>
      </c>
      <c r="E233">
        <f>IF(Presupuesto!B233="","",Presupuesto!D233)</f>
        <v/>
      </c>
    </row>
    <row r="234">
      <c r="A234">
        <f>IF(Presupuesto!B234="","",Presupuesto!B234)</f>
        <v/>
      </c>
      <c r="B234">
        <f>IF(Presupuesto!B234="","",Presupuesto!C234)</f>
        <v/>
      </c>
      <c r="C234">
        <f>IF(Presupuesto!B234="","",Presupuesto!E234)</f>
        <v/>
      </c>
      <c r="D234">
        <f>IF(Presupuesto!B234="","",Presupuesto!F234)</f>
        <v/>
      </c>
      <c r="E234">
        <f>IF(Presupuesto!B234="","",Presupuesto!D234)</f>
        <v/>
      </c>
    </row>
    <row r="235">
      <c r="A235">
        <f>IF(Presupuesto!B235="","",Presupuesto!B235)</f>
        <v/>
      </c>
      <c r="B235">
        <f>IF(Presupuesto!B235="","",Presupuesto!C235)</f>
        <v/>
      </c>
      <c r="C235">
        <f>IF(Presupuesto!B235="","",Presupuesto!E235)</f>
        <v/>
      </c>
      <c r="D235">
        <f>IF(Presupuesto!B235="","",Presupuesto!F235)</f>
        <v/>
      </c>
      <c r="E235">
        <f>IF(Presupuesto!B235="","",Presupuesto!D235)</f>
        <v/>
      </c>
    </row>
    <row r="236">
      <c r="A236">
        <f>IF(Presupuesto!B236="","",Presupuesto!B236)</f>
        <v/>
      </c>
      <c r="B236">
        <f>IF(Presupuesto!B236="","",Presupuesto!C236)</f>
        <v/>
      </c>
      <c r="C236">
        <f>IF(Presupuesto!B236="","",Presupuesto!E236)</f>
        <v/>
      </c>
      <c r="D236">
        <f>IF(Presupuesto!B236="","",Presupuesto!F236)</f>
        <v/>
      </c>
      <c r="E236">
        <f>IF(Presupuesto!B236="","",Presupuesto!D236)</f>
        <v/>
      </c>
    </row>
    <row r="237">
      <c r="A237">
        <f>IF(Presupuesto!B237="","",Presupuesto!B237)</f>
        <v/>
      </c>
      <c r="B237">
        <f>IF(Presupuesto!B237="","",Presupuesto!C237)</f>
        <v/>
      </c>
      <c r="C237">
        <f>IF(Presupuesto!B237="","",Presupuesto!E237)</f>
        <v/>
      </c>
      <c r="D237">
        <f>IF(Presupuesto!B237="","",Presupuesto!F237)</f>
        <v/>
      </c>
      <c r="E237">
        <f>IF(Presupuesto!B237="","",Presupuesto!D237)</f>
        <v/>
      </c>
    </row>
    <row r="238">
      <c r="A238">
        <f>IF(Presupuesto!B238="","",Presupuesto!B238)</f>
        <v/>
      </c>
      <c r="B238">
        <f>IF(Presupuesto!B238="","",Presupuesto!C238)</f>
        <v/>
      </c>
      <c r="C238">
        <f>IF(Presupuesto!B238="","",Presupuesto!E238)</f>
        <v/>
      </c>
      <c r="D238">
        <f>IF(Presupuesto!B238="","",Presupuesto!F238)</f>
        <v/>
      </c>
      <c r="E238">
        <f>IF(Presupuesto!B238="","",Presupuesto!D238)</f>
        <v/>
      </c>
    </row>
    <row r="239">
      <c r="A239">
        <f>IF(Presupuesto!B239="","",Presupuesto!B239)</f>
        <v/>
      </c>
      <c r="B239">
        <f>IF(Presupuesto!B239="","",Presupuesto!C239)</f>
        <v/>
      </c>
      <c r="C239">
        <f>IF(Presupuesto!B239="","",Presupuesto!E239)</f>
        <v/>
      </c>
      <c r="D239">
        <f>IF(Presupuesto!B239="","",Presupuesto!F239)</f>
        <v/>
      </c>
      <c r="E239">
        <f>IF(Presupuesto!B239="","",Presupuesto!D239)</f>
        <v/>
      </c>
    </row>
    <row r="240">
      <c r="A240">
        <f>IF(Presupuesto!B240="","",Presupuesto!B240)</f>
        <v/>
      </c>
      <c r="B240">
        <f>IF(Presupuesto!B240="","",Presupuesto!C240)</f>
        <v/>
      </c>
      <c r="C240">
        <f>IF(Presupuesto!B240="","",Presupuesto!E240)</f>
        <v/>
      </c>
      <c r="D240">
        <f>IF(Presupuesto!B240="","",Presupuesto!F240)</f>
        <v/>
      </c>
      <c r="E240">
        <f>IF(Presupuesto!B240="","",Presupuesto!D240)</f>
        <v/>
      </c>
    </row>
    <row r="241">
      <c r="A241">
        <f>IF(Presupuesto!B241="","",Presupuesto!B241)</f>
        <v/>
      </c>
      <c r="B241">
        <f>IF(Presupuesto!B241="","",Presupuesto!C241)</f>
        <v/>
      </c>
      <c r="C241">
        <f>IF(Presupuesto!B241="","",Presupuesto!E241)</f>
        <v/>
      </c>
      <c r="D241">
        <f>IF(Presupuesto!B241="","",Presupuesto!F241)</f>
        <v/>
      </c>
      <c r="E241">
        <f>IF(Presupuesto!B241="","",Presupuesto!D241)</f>
        <v/>
      </c>
    </row>
    <row r="242">
      <c r="A242">
        <f>IF(Presupuesto!B242="","",Presupuesto!B242)</f>
        <v/>
      </c>
      <c r="B242">
        <f>IF(Presupuesto!B242="","",Presupuesto!C242)</f>
        <v/>
      </c>
      <c r="C242">
        <f>IF(Presupuesto!B242="","",Presupuesto!E242)</f>
        <v/>
      </c>
      <c r="D242">
        <f>IF(Presupuesto!B242="","",Presupuesto!F242)</f>
        <v/>
      </c>
      <c r="E242">
        <f>IF(Presupuesto!B242="","",Presupuesto!D242)</f>
        <v/>
      </c>
    </row>
    <row r="243">
      <c r="A243">
        <f>IF(Presupuesto!B243="","",Presupuesto!B243)</f>
        <v/>
      </c>
      <c r="B243">
        <f>IF(Presupuesto!B243="","",Presupuesto!C243)</f>
        <v/>
      </c>
      <c r="C243">
        <f>IF(Presupuesto!B243="","",Presupuesto!E243)</f>
        <v/>
      </c>
      <c r="D243">
        <f>IF(Presupuesto!B243="","",Presupuesto!F243)</f>
        <v/>
      </c>
      <c r="E243">
        <f>IF(Presupuesto!B243="","",Presupuesto!D243)</f>
        <v/>
      </c>
    </row>
    <row r="244">
      <c r="A244">
        <f>IF(Presupuesto!B244="","",Presupuesto!B244)</f>
        <v/>
      </c>
      <c r="B244">
        <f>IF(Presupuesto!B244="","",Presupuesto!C244)</f>
        <v/>
      </c>
      <c r="C244">
        <f>IF(Presupuesto!B244="","",Presupuesto!E244)</f>
        <v/>
      </c>
      <c r="D244">
        <f>IF(Presupuesto!B244="","",Presupuesto!F244)</f>
        <v/>
      </c>
      <c r="E244">
        <f>IF(Presupuesto!B244="","",Presupuesto!D244)</f>
        <v/>
      </c>
    </row>
    <row r="245">
      <c r="A245">
        <f>IF(Presupuesto!B245="","",Presupuesto!B245)</f>
        <v/>
      </c>
      <c r="B245">
        <f>IF(Presupuesto!B245="","",Presupuesto!C245)</f>
        <v/>
      </c>
      <c r="C245">
        <f>IF(Presupuesto!B245="","",Presupuesto!E245)</f>
        <v/>
      </c>
      <c r="D245">
        <f>IF(Presupuesto!B245="","",Presupuesto!F245)</f>
        <v/>
      </c>
      <c r="E245">
        <f>IF(Presupuesto!B245="","",Presupuesto!D245)</f>
        <v/>
      </c>
    </row>
    <row r="246">
      <c r="A246">
        <f>IF(Presupuesto!B246="","",Presupuesto!B246)</f>
        <v/>
      </c>
      <c r="B246">
        <f>IF(Presupuesto!B246="","",Presupuesto!C246)</f>
        <v/>
      </c>
      <c r="C246">
        <f>IF(Presupuesto!B246="","",Presupuesto!E246)</f>
        <v/>
      </c>
      <c r="D246">
        <f>IF(Presupuesto!B246="","",Presupuesto!F246)</f>
        <v/>
      </c>
      <c r="E246">
        <f>IF(Presupuesto!B246="","",Presupuesto!D246)</f>
        <v/>
      </c>
    </row>
    <row r="247">
      <c r="A247">
        <f>IF(Presupuesto!B247="","",Presupuesto!B247)</f>
        <v/>
      </c>
      <c r="B247">
        <f>IF(Presupuesto!B247="","",Presupuesto!C247)</f>
        <v/>
      </c>
      <c r="C247">
        <f>IF(Presupuesto!B247="","",Presupuesto!E247)</f>
        <v/>
      </c>
      <c r="D247">
        <f>IF(Presupuesto!B247="","",Presupuesto!F247)</f>
        <v/>
      </c>
      <c r="E247">
        <f>IF(Presupuesto!B247="","",Presupuesto!D247)</f>
        <v/>
      </c>
    </row>
    <row r="248">
      <c r="A248">
        <f>IF(Presupuesto!B248="","",Presupuesto!B248)</f>
        <v/>
      </c>
      <c r="B248">
        <f>IF(Presupuesto!B248="","",Presupuesto!C248)</f>
        <v/>
      </c>
      <c r="C248">
        <f>IF(Presupuesto!B248="","",Presupuesto!E248)</f>
        <v/>
      </c>
      <c r="D248">
        <f>IF(Presupuesto!B248="","",Presupuesto!F248)</f>
        <v/>
      </c>
      <c r="E248">
        <f>IF(Presupuesto!B248="","",Presupuesto!D248)</f>
        <v/>
      </c>
    </row>
    <row r="249">
      <c r="A249">
        <f>IF(Presupuesto!B249="","",Presupuesto!B249)</f>
        <v/>
      </c>
      <c r="B249">
        <f>IF(Presupuesto!B249="","",Presupuesto!C249)</f>
        <v/>
      </c>
      <c r="C249">
        <f>IF(Presupuesto!B249="","",Presupuesto!E249)</f>
        <v/>
      </c>
      <c r="D249">
        <f>IF(Presupuesto!B249="","",Presupuesto!F249)</f>
        <v/>
      </c>
      <c r="E249">
        <f>IF(Presupuesto!B249="","",Presupuesto!D249)</f>
        <v/>
      </c>
    </row>
    <row r="250">
      <c r="A250">
        <f>IF(Presupuesto!B250="","",Presupuesto!B250)</f>
        <v/>
      </c>
      <c r="B250">
        <f>IF(Presupuesto!B250="","",Presupuesto!C250)</f>
        <v/>
      </c>
      <c r="C250">
        <f>IF(Presupuesto!B250="","",Presupuesto!E250)</f>
        <v/>
      </c>
      <c r="D250">
        <f>IF(Presupuesto!B250="","",Presupuesto!F250)</f>
        <v/>
      </c>
      <c r="E250">
        <f>IF(Presupuesto!B250="","",Presupuesto!D250)</f>
        <v/>
      </c>
    </row>
    <row r="251">
      <c r="A251">
        <f>IF(Presupuesto!B251="","",Presupuesto!B251)</f>
        <v/>
      </c>
      <c r="B251">
        <f>IF(Presupuesto!B251="","",Presupuesto!C251)</f>
        <v/>
      </c>
      <c r="C251">
        <f>IF(Presupuesto!B251="","",Presupuesto!E251)</f>
        <v/>
      </c>
      <c r="D251">
        <f>IF(Presupuesto!B251="","",Presupuesto!F251)</f>
        <v/>
      </c>
      <c r="E251">
        <f>IF(Presupuesto!B251="","",Presupuesto!D251)</f>
        <v/>
      </c>
    </row>
    <row r="252">
      <c r="A252">
        <f>IF(Presupuesto!B252="","",Presupuesto!B252)</f>
        <v/>
      </c>
      <c r="B252">
        <f>IF(Presupuesto!B252="","",Presupuesto!C252)</f>
        <v/>
      </c>
      <c r="C252">
        <f>IF(Presupuesto!B252="","",Presupuesto!E252)</f>
        <v/>
      </c>
      <c r="D252">
        <f>IF(Presupuesto!B252="","",Presupuesto!F252)</f>
        <v/>
      </c>
      <c r="E252">
        <f>IF(Presupuesto!B252="","",Presupuesto!D252)</f>
        <v/>
      </c>
    </row>
    <row r="253">
      <c r="A253">
        <f>IF(Presupuesto!B253="","",Presupuesto!B253)</f>
        <v/>
      </c>
      <c r="B253">
        <f>IF(Presupuesto!B253="","",Presupuesto!C253)</f>
        <v/>
      </c>
      <c r="C253">
        <f>IF(Presupuesto!B253="","",Presupuesto!E253)</f>
        <v/>
      </c>
      <c r="D253">
        <f>IF(Presupuesto!B253="","",Presupuesto!F253)</f>
        <v/>
      </c>
      <c r="E253">
        <f>IF(Presupuesto!B253="","",Presupuesto!D253)</f>
        <v/>
      </c>
    </row>
    <row r="254">
      <c r="A254">
        <f>IF(Presupuesto!B254="","",Presupuesto!B254)</f>
        <v/>
      </c>
      <c r="B254">
        <f>IF(Presupuesto!B254="","",Presupuesto!C254)</f>
        <v/>
      </c>
      <c r="C254">
        <f>IF(Presupuesto!B254="","",Presupuesto!E254)</f>
        <v/>
      </c>
      <c r="D254">
        <f>IF(Presupuesto!B254="","",Presupuesto!F254)</f>
        <v/>
      </c>
      <c r="E254">
        <f>IF(Presupuesto!B254="","",Presupuesto!D254)</f>
        <v/>
      </c>
    </row>
    <row r="255">
      <c r="A255">
        <f>IF(Presupuesto!B255="","",Presupuesto!B255)</f>
        <v/>
      </c>
      <c r="B255">
        <f>IF(Presupuesto!B255="","",Presupuesto!C255)</f>
        <v/>
      </c>
      <c r="C255">
        <f>IF(Presupuesto!B255="","",Presupuesto!E255)</f>
        <v/>
      </c>
      <c r="D255">
        <f>IF(Presupuesto!B255="","",Presupuesto!F255)</f>
        <v/>
      </c>
      <c r="E255">
        <f>IF(Presupuesto!B255="","",Presupuesto!D255)</f>
        <v/>
      </c>
    </row>
    <row r="256">
      <c r="A256">
        <f>IF(Presupuesto!B256="","",Presupuesto!B256)</f>
        <v/>
      </c>
      <c r="B256">
        <f>IF(Presupuesto!B256="","",Presupuesto!C256)</f>
        <v/>
      </c>
      <c r="C256">
        <f>IF(Presupuesto!B256="","",Presupuesto!E256)</f>
        <v/>
      </c>
      <c r="D256">
        <f>IF(Presupuesto!B256="","",Presupuesto!F256)</f>
        <v/>
      </c>
      <c r="E256">
        <f>IF(Presupuesto!B256="","",Presupuesto!D256)</f>
        <v/>
      </c>
    </row>
    <row r="257">
      <c r="A257">
        <f>IF(Presupuesto!B257="","",Presupuesto!B257)</f>
        <v/>
      </c>
      <c r="B257">
        <f>IF(Presupuesto!B257="","",Presupuesto!C257)</f>
        <v/>
      </c>
      <c r="C257">
        <f>IF(Presupuesto!B257="","",Presupuesto!E257)</f>
        <v/>
      </c>
      <c r="D257">
        <f>IF(Presupuesto!B257="","",Presupuesto!F257)</f>
        <v/>
      </c>
      <c r="E257">
        <f>IF(Presupuesto!B257="","",Presupuesto!D257)</f>
        <v/>
      </c>
    </row>
    <row r="258">
      <c r="A258">
        <f>IF(Presupuesto!B258="","",Presupuesto!B258)</f>
        <v/>
      </c>
      <c r="B258">
        <f>IF(Presupuesto!B258="","",Presupuesto!C258)</f>
        <v/>
      </c>
      <c r="C258">
        <f>IF(Presupuesto!B258="","",Presupuesto!E258)</f>
        <v/>
      </c>
      <c r="D258">
        <f>IF(Presupuesto!B258="","",Presupuesto!F258)</f>
        <v/>
      </c>
      <c r="E258">
        <f>IF(Presupuesto!B258="","",Presupuesto!D258)</f>
        <v/>
      </c>
    </row>
    <row r="259">
      <c r="A259">
        <f>IF(Presupuesto!B259="","",Presupuesto!B259)</f>
        <v/>
      </c>
      <c r="B259">
        <f>IF(Presupuesto!B259="","",Presupuesto!C259)</f>
        <v/>
      </c>
      <c r="C259">
        <f>IF(Presupuesto!B259="","",Presupuesto!E259)</f>
        <v/>
      </c>
      <c r="D259">
        <f>IF(Presupuesto!B259="","",Presupuesto!F259)</f>
        <v/>
      </c>
      <c r="E259">
        <f>IF(Presupuesto!B259="","",Presupuesto!D259)</f>
        <v/>
      </c>
    </row>
    <row r="260">
      <c r="A260">
        <f>IF(Presupuesto!B260="","",Presupuesto!B260)</f>
        <v/>
      </c>
      <c r="B260">
        <f>IF(Presupuesto!B260="","",Presupuesto!C260)</f>
        <v/>
      </c>
      <c r="C260">
        <f>IF(Presupuesto!B260="","",Presupuesto!E260)</f>
        <v/>
      </c>
      <c r="D260">
        <f>IF(Presupuesto!B260="","",Presupuesto!F260)</f>
        <v/>
      </c>
      <c r="E260">
        <f>IF(Presupuesto!B260="","",Presupuesto!D260)</f>
        <v/>
      </c>
    </row>
    <row r="261">
      <c r="A261">
        <f>IF(Presupuesto!B261="","",Presupuesto!B261)</f>
        <v/>
      </c>
      <c r="B261">
        <f>IF(Presupuesto!B261="","",Presupuesto!C261)</f>
        <v/>
      </c>
      <c r="C261">
        <f>IF(Presupuesto!B261="","",Presupuesto!E261)</f>
        <v/>
      </c>
      <c r="D261">
        <f>IF(Presupuesto!B261="","",Presupuesto!F261)</f>
        <v/>
      </c>
      <c r="E261">
        <f>IF(Presupuesto!B261="","",Presupuesto!D261)</f>
        <v/>
      </c>
    </row>
    <row r="262">
      <c r="A262">
        <f>IF(Presupuesto!B262="","",Presupuesto!B262)</f>
        <v/>
      </c>
      <c r="B262">
        <f>IF(Presupuesto!B262="","",Presupuesto!C262)</f>
        <v/>
      </c>
      <c r="C262">
        <f>IF(Presupuesto!B262="","",Presupuesto!E262)</f>
        <v/>
      </c>
      <c r="D262">
        <f>IF(Presupuesto!B262="","",Presupuesto!F262)</f>
        <v/>
      </c>
      <c r="E262">
        <f>IF(Presupuesto!B262="","",Presupuesto!D262)</f>
        <v/>
      </c>
    </row>
    <row r="263">
      <c r="A263">
        <f>IF(Presupuesto!B263="","",Presupuesto!B263)</f>
        <v/>
      </c>
      <c r="B263">
        <f>IF(Presupuesto!B263="","",Presupuesto!C263)</f>
        <v/>
      </c>
      <c r="C263">
        <f>IF(Presupuesto!B263="","",Presupuesto!E263)</f>
        <v/>
      </c>
      <c r="D263">
        <f>IF(Presupuesto!B263="","",Presupuesto!F263)</f>
        <v/>
      </c>
      <c r="E263">
        <f>IF(Presupuesto!B263="","",Presupuesto!D263)</f>
        <v/>
      </c>
    </row>
    <row r="264">
      <c r="A264">
        <f>IF(Presupuesto!B264="","",Presupuesto!B264)</f>
        <v/>
      </c>
      <c r="B264">
        <f>IF(Presupuesto!B264="","",Presupuesto!C264)</f>
        <v/>
      </c>
      <c r="C264">
        <f>IF(Presupuesto!B264="","",Presupuesto!E264)</f>
        <v/>
      </c>
      <c r="D264">
        <f>IF(Presupuesto!B264="","",Presupuesto!F264)</f>
        <v/>
      </c>
      <c r="E264">
        <f>IF(Presupuesto!B264="","",Presupuesto!D264)</f>
        <v/>
      </c>
    </row>
    <row r="265">
      <c r="A265">
        <f>IF(Presupuesto!B265="","",Presupuesto!B265)</f>
        <v/>
      </c>
      <c r="B265">
        <f>IF(Presupuesto!B265="","",Presupuesto!C265)</f>
        <v/>
      </c>
      <c r="C265">
        <f>IF(Presupuesto!B265="","",Presupuesto!E265)</f>
        <v/>
      </c>
      <c r="D265">
        <f>IF(Presupuesto!B265="","",Presupuesto!F265)</f>
        <v/>
      </c>
      <c r="E265">
        <f>IF(Presupuesto!B265="","",Presupuesto!D265)</f>
        <v/>
      </c>
    </row>
    <row r="266">
      <c r="A266">
        <f>IF(Presupuesto!B266="","",Presupuesto!B266)</f>
        <v/>
      </c>
      <c r="B266">
        <f>IF(Presupuesto!B266="","",Presupuesto!C266)</f>
        <v/>
      </c>
      <c r="C266">
        <f>IF(Presupuesto!B266="","",Presupuesto!E266)</f>
        <v/>
      </c>
      <c r="D266">
        <f>IF(Presupuesto!B266="","",Presupuesto!F266)</f>
        <v/>
      </c>
      <c r="E266">
        <f>IF(Presupuesto!B266="","",Presupuesto!D266)</f>
        <v/>
      </c>
    </row>
    <row r="267">
      <c r="A267">
        <f>IF(Presupuesto!B267="","",Presupuesto!B267)</f>
        <v/>
      </c>
      <c r="B267">
        <f>IF(Presupuesto!B267="","",Presupuesto!C267)</f>
        <v/>
      </c>
      <c r="C267">
        <f>IF(Presupuesto!B267="","",Presupuesto!E267)</f>
        <v/>
      </c>
      <c r="D267">
        <f>IF(Presupuesto!B267="","",Presupuesto!F267)</f>
        <v/>
      </c>
      <c r="E267">
        <f>IF(Presupuesto!B267="","",Presupuesto!D267)</f>
        <v/>
      </c>
    </row>
    <row r="268">
      <c r="A268">
        <f>IF(Presupuesto!B268="","",Presupuesto!B268)</f>
        <v/>
      </c>
      <c r="B268">
        <f>IF(Presupuesto!B268="","",Presupuesto!C268)</f>
        <v/>
      </c>
      <c r="C268">
        <f>IF(Presupuesto!B268="","",Presupuesto!E268)</f>
        <v/>
      </c>
      <c r="D268">
        <f>IF(Presupuesto!B268="","",Presupuesto!F268)</f>
        <v/>
      </c>
      <c r="E268">
        <f>IF(Presupuesto!B268="","",Presupuesto!D268)</f>
        <v/>
      </c>
    </row>
    <row r="269">
      <c r="A269">
        <f>IF(Presupuesto!B269="","",Presupuesto!B269)</f>
        <v/>
      </c>
      <c r="B269">
        <f>IF(Presupuesto!B269="","",Presupuesto!C269)</f>
        <v/>
      </c>
      <c r="C269">
        <f>IF(Presupuesto!B269="","",Presupuesto!E269)</f>
        <v/>
      </c>
      <c r="D269">
        <f>IF(Presupuesto!B269="","",Presupuesto!F269)</f>
        <v/>
      </c>
      <c r="E269">
        <f>IF(Presupuesto!B269="","",Presupuesto!D269)</f>
        <v/>
      </c>
    </row>
    <row r="270">
      <c r="A270">
        <f>IF(Presupuesto!B270="","",Presupuesto!B270)</f>
        <v/>
      </c>
      <c r="B270">
        <f>IF(Presupuesto!B270="","",Presupuesto!C270)</f>
        <v/>
      </c>
      <c r="C270">
        <f>IF(Presupuesto!B270="","",Presupuesto!E270)</f>
        <v/>
      </c>
      <c r="D270">
        <f>IF(Presupuesto!B270="","",Presupuesto!F270)</f>
        <v/>
      </c>
      <c r="E270">
        <f>IF(Presupuesto!B270="","",Presupuesto!D270)</f>
        <v/>
      </c>
    </row>
    <row r="271">
      <c r="A271">
        <f>IF(Presupuesto!B271="","",Presupuesto!B271)</f>
        <v/>
      </c>
      <c r="B271">
        <f>IF(Presupuesto!B271="","",Presupuesto!C271)</f>
        <v/>
      </c>
      <c r="C271">
        <f>IF(Presupuesto!B271="","",Presupuesto!E271)</f>
        <v/>
      </c>
      <c r="D271">
        <f>IF(Presupuesto!B271="","",Presupuesto!F271)</f>
        <v/>
      </c>
      <c r="E271">
        <f>IF(Presupuesto!B271="","",Presupuesto!D271)</f>
        <v/>
      </c>
    </row>
    <row r="272">
      <c r="A272">
        <f>IF(Presupuesto!B272="","",Presupuesto!B272)</f>
        <v/>
      </c>
      <c r="B272">
        <f>IF(Presupuesto!B272="","",Presupuesto!C272)</f>
        <v/>
      </c>
      <c r="C272">
        <f>IF(Presupuesto!B272="","",Presupuesto!E272)</f>
        <v/>
      </c>
      <c r="D272">
        <f>IF(Presupuesto!B272="","",Presupuesto!F272)</f>
        <v/>
      </c>
      <c r="E272">
        <f>IF(Presupuesto!B272="","",Presupuesto!D272)</f>
        <v/>
      </c>
    </row>
    <row r="273">
      <c r="A273">
        <f>IF(Presupuesto!B273="","",Presupuesto!B273)</f>
        <v/>
      </c>
      <c r="B273">
        <f>IF(Presupuesto!B273="","",Presupuesto!C273)</f>
        <v/>
      </c>
      <c r="C273">
        <f>IF(Presupuesto!B273="","",Presupuesto!E273)</f>
        <v/>
      </c>
      <c r="D273">
        <f>IF(Presupuesto!B273="","",Presupuesto!F273)</f>
        <v/>
      </c>
      <c r="E273">
        <f>IF(Presupuesto!B273="","",Presupuesto!D273)</f>
        <v/>
      </c>
    </row>
    <row r="274">
      <c r="A274">
        <f>IF(Presupuesto!B274="","",Presupuesto!B274)</f>
        <v/>
      </c>
      <c r="B274">
        <f>IF(Presupuesto!B274="","",Presupuesto!C274)</f>
        <v/>
      </c>
      <c r="C274">
        <f>IF(Presupuesto!B274="","",Presupuesto!E274)</f>
        <v/>
      </c>
      <c r="D274">
        <f>IF(Presupuesto!B274="","",Presupuesto!F274)</f>
        <v/>
      </c>
      <c r="E274">
        <f>IF(Presupuesto!B274="","",Presupuesto!D274)</f>
        <v/>
      </c>
    </row>
    <row r="275">
      <c r="A275">
        <f>IF(Presupuesto!B275="","",Presupuesto!B275)</f>
        <v/>
      </c>
      <c r="B275">
        <f>IF(Presupuesto!B275="","",Presupuesto!C275)</f>
        <v/>
      </c>
      <c r="C275">
        <f>IF(Presupuesto!B275="","",Presupuesto!E275)</f>
        <v/>
      </c>
      <c r="D275">
        <f>IF(Presupuesto!B275="","",Presupuesto!F275)</f>
        <v/>
      </c>
      <c r="E275">
        <f>IF(Presupuesto!B275="","",Presupuesto!D275)</f>
        <v/>
      </c>
    </row>
    <row r="276">
      <c r="A276">
        <f>IF(Presupuesto!B276="","",Presupuesto!B276)</f>
        <v/>
      </c>
      <c r="B276">
        <f>IF(Presupuesto!B276="","",Presupuesto!C276)</f>
        <v/>
      </c>
      <c r="C276">
        <f>IF(Presupuesto!B276="","",Presupuesto!E276)</f>
        <v/>
      </c>
      <c r="D276">
        <f>IF(Presupuesto!B276="","",Presupuesto!F276)</f>
        <v/>
      </c>
      <c r="E276">
        <f>IF(Presupuesto!B276="","",Presupuesto!D276)</f>
        <v/>
      </c>
    </row>
    <row r="277">
      <c r="A277">
        <f>IF(Presupuesto!B277="","",Presupuesto!B277)</f>
        <v/>
      </c>
      <c r="B277">
        <f>IF(Presupuesto!B277="","",Presupuesto!C277)</f>
        <v/>
      </c>
      <c r="C277">
        <f>IF(Presupuesto!B277="","",Presupuesto!E277)</f>
        <v/>
      </c>
      <c r="D277">
        <f>IF(Presupuesto!B277="","",Presupuesto!F277)</f>
        <v/>
      </c>
      <c r="E277">
        <f>IF(Presupuesto!B277="","",Presupuesto!D277)</f>
        <v/>
      </c>
    </row>
    <row r="278">
      <c r="A278">
        <f>IF(Presupuesto!B278="","",Presupuesto!B278)</f>
        <v/>
      </c>
      <c r="B278">
        <f>IF(Presupuesto!B278="","",Presupuesto!C278)</f>
        <v/>
      </c>
      <c r="C278">
        <f>IF(Presupuesto!B278="","",Presupuesto!E278)</f>
        <v/>
      </c>
      <c r="D278">
        <f>IF(Presupuesto!B278="","",Presupuesto!F278)</f>
        <v/>
      </c>
      <c r="E278">
        <f>IF(Presupuesto!B278="","",Presupuesto!D278)</f>
        <v/>
      </c>
    </row>
    <row r="279">
      <c r="A279">
        <f>IF(Presupuesto!B279="","",Presupuesto!B279)</f>
        <v/>
      </c>
      <c r="B279">
        <f>IF(Presupuesto!B279="","",Presupuesto!C279)</f>
        <v/>
      </c>
      <c r="C279">
        <f>IF(Presupuesto!B279="","",Presupuesto!E279)</f>
        <v/>
      </c>
      <c r="D279">
        <f>IF(Presupuesto!B279="","",Presupuesto!F279)</f>
        <v/>
      </c>
      <c r="E279">
        <f>IF(Presupuesto!B279="","",Presupuesto!D279)</f>
        <v/>
      </c>
    </row>
    <row r="280">
      <c r="A280">
        <f>IF(Presupuesto!B280="","",Presupuesto!B280)</f>
        <v/>
      </c>
      <c r="B280">
        <f>IF(Presupuesto!B280="","",Presupuesto!C280)</f>
        <v/>
      </c>
      <c r="C280">
        <f>IF(Presupuesto!B280="","",Presupuesto!E280)</f>
        <v/>
      </c>
      <c r="D280">
        <f>IF(Presupuesto!B280="","",Presupuesto!F280)</f>
        <v/>
      </c>
      <c r="E280">
        <f>IF(Presupuesto!B280="","",Presupuesto!D280)</f>
        <v/>
      </c>
    </row>
    <row r="281">
      <c r="A281">
        <f>IF(Presupuesto!B281="","",Presupuesto!B281)</f>
        <v/>
      </c>
      <c r="B281">
        <f>IF(Presupuesto!B281="","",Presupuesto!C281)</f>
        <v/>
      </c>
      <c r="C281">
        <f>IF(Presupuesto!B281="","",Presupuesto!E281)</f>
        <v/>
      </c>
      <c r="D281">
        <f>IF(Presupuesto!B281="","",Presupuesto!F281)</f>
        <v/>
      </c>
      <c r="E281">
        <f>IF(Presupuesto!B281="","",Presupuesto!D281)</f>
        <v/>
      </c>
    </row>
    <row r="282">
      <c r="A282">
        <f>IF(Presupuesto!B282="","",Presupuesto!B282)</f>
        <v/>
      </c>
      <c r="B282">
        <f>IF(Presupuesto!B282="","",Presupuesto!C282)</f>
        <v/>
      </c>
      <c r="C282">
        <f>IF(Presupuesto!B282="","",Presupuesto!E282)</f>
        <v/>
      </c>
      <c r="D282">
        <f>IF(Presupuesto!B282="","",Presupuesto!F282)</f>
        <v/>
      </c>
      <c r="E282">
        <f>IF(Presupuesto!B282="","",Presupuesto!D282)</f>
        <v/>
      </c>
    </row>
    <row r="283">
      <c r="A283">
        <f>IF(Presupuesto!B283="","",Presupuesto!B283)</f>
        <v/>
      </c>
      <c r="B283">
        <f>IF(Presupuesto!B283="","",Presupuesto!C283)</f>
        <v/>
      </c>
      <c r="C283">
        <f>IF(Presupuesto!B283="","",Presupuesto!E283)</f>
        <v/>
      </c>
      <c r="D283">
        <f>IF(Presupuesto!B283="","",Presupuesto!F283)</f>
        <v/>
      </c>
      <c r="E283">
        <f>IF(Presupuesto!B283="","",Presupuesto!D283)</f>
        <v/>
      </c>
    </row>
    <row r="284">
      <c r="A284">
        <f>IF(Presupuesto!B284="","",Presupuesto!B284)</f>
        <v/>
      </c>
      <c r="B284">
        <f>IF(Presupuesto!B284="","",Presupuesto!C284)</f>
        <v/>
      </c>
      <c r="C284">
        <f>IF(Presupuesto!B284="","",Presupuesto!E284)</f>
        <v/>
      </c>
      <c r="D284">
        <f>IF(Presupuesto!B284="","",Presupuesto!F284)</f>
        <v/>
      </c>
      <c r="E284">
        <f>IF(Presupuesto!B284="","",Presupuesto!D284)</f>
        <v/>
      </c>
    </row>
    <row r="285">
      <c r="A285">
        <f>IF(Presupuesto!B285="","",Presupuesto!B285)</f>
        <v/>
      </c>
      <c r="B285">
        <f>IF(Presupuesto!B285="","",Presupuesto!C285)</f>
        <v/>
      </c>
      <c r="C285">
        <f>IF(Presupuesto!B285="","",Presupuesto!E285)</f>
        <v/>
      </c>
      <c r="D285">
        <f>IF(Presupuesto!B285="","",Presupuesto!F285)</f>
        <v/>
      </c>
      <c r="E285">
        <f>IF(Presupuesto!B285="","",Presupuesto!D285)</f>
        <v/>
      </c>
    </row>
    <row r="286">
      <c r="A286">
        <f>IF(Presupuesto!B286="","",Presupuesto!B286)</f>
        <v/>
      </c>
      <c r="B286">
        <f>IF(Presupuesto!B286="","",Presupuesto!C286)</f>
        <v/>
      </c>
      <c r="C286">
        <f>IF(Presupuesto!B286="","",Presupuesto!E286)</f>
        <v/>
      </c>
      <c r="D286">
        <f>IF(Presupuesto!B286="","",Presupuesto!F286)</f>
        <v/>
      </c>
      <c r="E286">
        <f>IF(Presupuesto!B286="","",Presupuesto!D286)</f>
        <v/>
      </c>
    </row>
    <row r="287">
      <c r="A287">
        <f>IF(Presupuesto!B287="","",Presupuesto!B287)</f>
        <v/>
      </c>
      <c r="B287">
        <f>IF(Presupuesto!B287="","",Presupuesto!C287)</f>
        <v/>
      </c>
      <c r="C287">
        <f>IF(Presupuesto!B287="","",Presupuesto!E287)</f>
        <v/>
      </c>
      <c r="D287">
        <f>IF(Presupuesto!B287="","",Presupuesto!F287)</f>
        <v/>
      </c>
      <c r="E287">
        <f>IF(Presupuesto!B287="","",Presupuesto!D287)</f>
        <v/>
      </c>
    </row>
    <row r="288">
      <c r="A288">
        <f>IF(Presupuesto!B288="","",Presupuesto!B288)</f>
        <v/>
      </c>
      <c r="B288">
        <f>IF(Presupuesto!B288="","",Presupuesto!C288)</f>
        <v/>
      </c>
      <c r="C288">
        <f>IF(Presupuesto!B288="","",Presupuesto!E288)</f>
        <v/>
      </c>
      <c r="D288">
        <f>IF(Presupuesto!B288="","",Presupuesto!F288)</f>
        <v/>
      </c>
      <c r="E288">
        <f>IF(Presupuesto!B288="","",Presupuesto!D288)</f>
        <v/>
      </c>
    </row>
    <row r="289">
      <c r="A289">
        <f>IF(Presupuesto!B289="","",Presupuesto!B289)</f>
        <v/>
      </c>
      <c r="B289">
        <f>IF(Presupuesto!B289="","",Presupuesto!C289)</f>
        <v/>
      </c>
      <c r="C289">
        <f>IF(Presupuesto!B289="","",Presupuesto!E289)</f>
        <v/>
      </c>
      <c r="D289">
        <f>IF(Presupuesto!B289="","",Presupuesto!F289)</f>
        <v/>
      </c>
      <c r="E289">
        <f>IF(Presupuesto!B289="","",Presupuesto!D289)</f>
        <v/>
      </c>
    </row>
    <row r="290">
      <c r="A290">
        <f>IF(Presupuesto!B290="","",Presupuesto!B290)</f>
        <v/>
      </c>
      <c r="B290">
        <f>IF(Presupuesto!B290="","",Presupuesto!C290)</f>
        <v/>
      </c>
      <c r="C290">
        <f>IF(Presupuesto!B290="","",Presupuesto!E290)</f>
        <v/>
      </c>
      <c r="D290">
        <f>IF(Presupuesto!B290="","",Presupuesto!F290)</f>
        <v/>
      </c>
      <c r="E290">
        <f>IF(Presupuesto!B290="","",Presupuesto!D290)</f>
        <v/>
      </c>
    </row>
    <row r="291">
      <c r="A291">
        <f>IF(Presupuesto!B291="","",Presupuesto!B291)</f>
        <v/>
      </c>
      <c r="B291">
        <f>IF(Presupuesto!B291="","",Presupuesto!C291)</f>
        <v/>
      </c>
      <c r="C291">
        <f>IF(Presupuesto!B291="","",Presupuesto!E291)</f>
        <v/>
      </c>
      <c r="D291">
        <f>IF(Presupuesto!B291="","",Presupuesto!F291)</f>
        <v/>
      </c>
      <c r="E291">
        <f>IF(Presupuesto!B291="","",Presupuesto!D291)</f>
        <v/>
      </c>
    </row>
    <row r="292">
      <c r="A292">
        <f>IF(Presupuesto!B292="","",Presupuesto!B292)</f>
        <v/>
      </c>
      <c r="B292">
        <f>IF(Presupuesto!B292="","",Presupuesto!C292)</f>
        <v/>
      </c>
      <c r="C292">
        <f>IF(Presupuesto!B292="","",Presupuesto!E292)</f>
        <v/>
      </c>
      <c r="D292">
        <f>IF(Presupuesto!B292="","",Presupuesto!F292)</f>
        <v/>
      </c>
      <c r="E292">
        <f>IF(Presupuesto!B292="","",Presupuesto!D292)</f>
        <v/>
      </c>
    </row>
    <row r="293">
      <c r="A293">
        <f>IF(Presupuesto!B293="","",Presupuesto!B293)</f>
        <v/>
      </c>
      <c r="B293">
        <f>IF(Presupuesto!B293="","",Presupuesto!C293)</f>
        <v/>
      </c>
      <c r="C293">
        <f>IF(Presupuesto!B293="","",Presupuesto!E293)</f>
        <v/>
      </c>
      <c r="D293">
        <f>IF(Presupuesto!B293="","",Presupuesto!F293)</f>
        <v/>
      </c>
      <c r="E293">
        <f>IF(Presupuesto!B293="","",Presupuesto!D293)</f>
        <v/>
      </c>
    </row>
    <row r="294">
      <c r="A294">
        <f>IF(Presupuesto!B294="","",Presupuesto!B294)</f>
        <v/>
      </c>
      <c r="B294">
        <f>IF(Presupuesto!B294="","",Presupuesto!C294)</f>
        <v/>
      </c>
      <c r="C294">
        <f>IF(Presupuesto!B294="","",Presupuesto!E294)</f>
        <v/>
      </c>
      <c r="D294">
        <f>IF(Presupuesto!B294="","",Presupuesto!F294)</f>
        <v/>
      </c>
      <c r="E294">
        <f>IF(Presupuesto!B294="","",Presupuesto!D294)</f>
        <v/>
      </c>
    </row>
    <row r="295">
      <c r="A295">
        <f>IF(Presupuesto!B295="","",Presupuesto!B295)</f>
        <v/>
      </c>
      <c r="B295">
        <f>IF(Presupuesto!B295="","",Presupuesto!C295)</f>
        <v/>
      </c>
      <c r="C295">
        <f>IF(Presupuesto!B295="","",Presupuesto!E295)</f>
        <v/>
      </c>
      <c r="D295">
        <f>IF(Presupuesto!B295="","",Presupuesto!F295)</f>
        <v/>
      </c>
      <c r="E295">
        <f>IF(Presupuesto!B295="","",Presupuesto!D295)</f>
        <v/>
      </c>
    </row>
    <row r="296">
      <c r="A296">
        <f>IF(Presupuesto!B296="","",Presupuesto!B296)</f>
        <v/>
      </c>
      <c r="B296">
        <f>IF(Presupuesto!B296="","",Presupuesto!C296)</f>
        <v/>
      </c>
      <c r="C296">
        <f>IF(Presupuesto!B296="","",Presupuesto!E296)</f>
        <v/>
      </c>
      <c r="D296">
        <f>IF(Presupuesto!B296="","",Presupuesto!F296)</f>
        <v/>
      </c>
      <c r="E296">
        <f>IF(Presupuesto!B296="","",Presupuesto!D296)</f>
        <v/>
      </c>
    </row>
    <row r="297">
      <c r="A297">
        <f>IF(Presupuesto!B297="","",Presupuesto!B297)</f>
        <v/>
      </c>
      <c r="B297">
        <f>IF(Presupuesto!B297="","",Presupuesto!C297)</f>
        <v/>
      </c>
      <c r="C297">
        <f>IF(Presupuesto!B297="","",Presupuesto!E297)</f>
        <v/>
      </c>
      <c r="D297">
        <f>IF(Presupuesto!B297="","",Presupuesto!F297)</f>
        <v/>
      </c>
      <c r="E297">
        <f>IF(Presupuesto!B297="","",Presupuesto!D297)</f>
        <v/>
      </c>
    </row>
    <row r="298">
      <c r="A298">
        <f>IF(Presupuesto!B298="","",Presupuesto!B298)</f>
        <v/>
      </c>
      <c r="B298">
        <f>IF(Presupuesto!B298="","",Presupuesto!C298)</f>
        <v/>
      </c>
      <c r="C298">
        <f>IF(Presupuesto!B298="","",Presupuesto!E298)</f>
        <v/>
      </c>
      <c r="D298">
        <f>IF(Presupuesto!B298="","",Presupuesto!F298)</f>
        <v/>
      </c>
      <c r="E298">
        <f>IF(Presupuesto!B298="","",Presupuesto!D298)</f>
        <v/>
      </c>
    </row>
    <row r="299">
      <c r="A299">
        <f>IF(Presupuesto!B299="","",Presupuesto!B299)</f>
        <v/>
      </c>
      <c r="B299">
        <f>IF(Presupuesto!B299="","",Presupuesto!C299)</f>
        <v/>
      </c>
      <c r="C299">
        <f>IF(Presupuesto!B299="","",Presupuesto!E299)</f>
        <v/>
      </c>
      <c r="D299">
        <f>IF(Presupuesto!B299="","",Presupuesto!F299)</f>
        <v/>
      </c>
      <c r="E299">
        <f>IF(Presupuesto!B299="","",Presupuesto!D299)</f>
        <v/>
      </c>
    </row>
    <row r="300">
      <c r="A300">
        <f>IF(Presupuesto!B300="","",Presupuesto!B300)</f>
        <v/>
      </c>
      <c r="B300">
        <f>IF(Presupuesto!B300="","",Presupuesto!C300)</f>
        <v/>
      </c>
      <c r="C300">
        <f>IF(Presupuesto!B300="","",Presupuesto!E300)</f>
        <v/>
      </c>
      <c r="D300">
        <f>IF(Presupuesto!B300="","",Presupuesto!F300)</f>
        <v/>
      </c>
      <c r="E300">
        <f>IF(Presupuesto!B300="","",Presupuesto!D300)</f>
        <v/>
      </c>
    </row>
    <row r="301">
      <c r="A301">
        <f>IF(Presupuesto!B301="","",Presupuesto!B301)</f>
        <v/>
      </c>
      <c r="B301">
        <f>IF(Presupuesto!B301="","",Presupuesto!C301)</f>
        <v/>
      </c>
      <c r="C301">
        <f>IF(Presupuesto!B301="","",Presupuesto!E301)</f>
        <v/>
      </c>
      <c r="D301">
        <f>IF(Presupuesto!B301="","",Presupuesto!F301)</f>
        <v/>
      </c>
      <c r="E301">
        <f>IF(Presupuesto!B301="","",Presupuesto!D301)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2026-10-07T22:23:19Z</dcterms:created>
  <dcterms:modified xmlns:dcterms="http://purl.org/dc/terms/" xmlns:xsi="http://www.w3.org/2001/XMLSchema-instance" xsi:type="dcterms:W3CDTF">2026-10-07T22:23:19Z</dcterms:modified>
</cp:coreProperties>
</file>